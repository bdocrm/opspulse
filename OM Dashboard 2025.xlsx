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" sheetId="1" r:id="rId5"/>
    <sheet state="visible" name="FEBRUARY" sheetId="2" r:id="rId6"/>
    <sheet state="visible" name="MARCH" sheetId="3" r:id="rId7"/>
    <sheet state="visible" name="APRIL" sheetId="4" r:id="rId8"/>
    <sheet state="visible" name="MAY" sheetId="5" r:id="rId9"/>
    <sheet state="visible" name="JUNE" sheetId="6" r:id="rId10"/>
    <sheet state="visible" name="JULY" sheetId="7" r:id="rId11"/>
    <sheet state="visible" name="AUGUST" sheetId="8" r:id="rId12"/>
    <sheet state="visible" name="SEPTEMBER" sheetId="9" r:id="rId13"/>
    <sheet state="visible" name="OCTOBER" sheetId="10" r:id="rId14"/>
    <sheet state="visible" name="NOVEMBER" sheetId="11" r:id="rId15"/>
    <sheet state="visible" name="DECEMBER" sheetId="12" r:id="rId16"/>
    <sheet state="visible" name="Sheet6" sheetId="13" r:id="rId17"/>
    <sheet state="visible" name="YTD (GUYS, PLS UPDATE EOM)" sheetId="14" r:id="rId18"/>
    <sheet state="visible" name="Sheet7" sheetId="15" r:id="rId19"/>
    <sheet state="visible" name="Sheet8" sheetId="16" r:id="rId20"/>
    <sheet state="visible" name="For SIR BIBOY ONLY" sheetId="17" r:id="rId21"/>
  </sheets>
  <definedNames/>
  <calcPr/>
</workbook>
</file>

<file path=xl/sharedStrings.xml><?xml version="1.0" encoding="utf-8"?>
<sst xmlns="http://schemas.openxmlformats.org/spreadsheetml/2006/main" count="2306" uniqueCount="242">
  <si>
    <t xml:space="preserve"> </t>
  </si>
  <si>
    <r>
      <rPr>
        <rFont val="Calibri,Arial"/>
        <b/>
        <color rgb="FFFFFFFF"/>
        <sz val="24.0"/>
      </rPr>
      <t xml:space="preserve">JANUARY TRANSMITTALS </t>
    </r>
    <r>
      <rPr>
        <rFont val="Calibri,Arial"/>
        <b/>
        <color rgb="FFFFFF00"/>
        <sz val="24.0"/>
      </rPr>
      <t>(INTERNAL)</t>
    </r>
  </si>
  <si>
    <t>Seat</t>
  </si>
  <si>
    <t>Campaign</t>
  </si>
  <si>
    <t>Goal Type</t>
  </si>
  <si>
    <t>GOAL</t>
  </si>
  <si>
    <t>Productivity</t>
  </si>
  <si>
    <t>MTD</t>
  </si>
  <si>
    <t>Achievement</t>
  </si>
  <si>
    <t>RR</t>
  </si>
  <si>
    <t>RR Achievement</t>
  </si>
  <si>
    <t>WDays</t>
  </si>
  <si>
    <t>Days Lapsed</t>
  </si>
  <si>
    <t>W1</t>
  </si>
  <si>
    <t>W2</t>
  </si>
  <si>
    <t>W3</t>
  </si>
  <si>
    <t>W4</t>
  </si>
  <si>
    <t>W5</t>
  </si>
  <si>
    <t>BPI PA OUTBOUND</t>
  </si>
  <si>
    <t>Gross Transmittals</t>
  </si>
  <si>
    <t>as of January 30, 2025 - FINAL</t>
  </si>
  <si>
    <t>BPI PA INBOUND</t>
  </si>
  <si>
    <t>BPI PL</t>
  </si>
  <si>
    <t>as of January 31 2025</t>
  </si>
  <si>
    <t>BPI BL</t>
  </si>
  <si>
    <t>BPI FF</t>
  </si>
  <si>
    <t>Conversion rate</t>
  </si>
  <si>
    <t>MB ACQ</t>
  </si>
  <si>
    <t>as of January 20, 2025- FINAL</t>
  </si>
  <si>
    <t>MB PL</t>
  </si>
  <si>
    <t>as of January 21, 2025-FINAL</t>
  </si>
  <si>
    <t>MB PA</t>
  </si>
  <si>
    <t>BDO SGM</t>
  </si>
  <si>
    <t>as of Janaury 31, 2025</t>
  </si>
  <si>
    <t>UNOFFICAL</t>
  </si>
  <si>
    <t>BDO CIE</t>
  </si>
  <si>
    <t>as of January 31, 2025</t>
  </si>
  <si>
    <t>BDO SUPPLE</t>
  </si>
  <si>
    <t>BDO VC</t>
  </si>
  <si>
    <t>BDO NTH CARD</t>
  </si>
  <si>
    <t>AXA</t>
  </si>
  <si>
    <t>AXA CLP</t>
  </si>
  <si>
    <t>CBC</t>
  </si>
  <si>
    <t>CBC HPL</t>
  </si>
  <si>
    <t>MEDICARD</t>
  </si>
  <si>
    <r>
      <t>JANUARY ACTIVATIONS /</t>
    </r>
    <r>
      <rPr>
        <rFont val="Calibri,Arial"/>
        <b/>
        <color rgb="FFFFFF00"/>
        <sz val="24.0"/>
      </rPr>
      <t xml:space="preserve"> APPROVALS / RATES / BOOKED (INTERNAL)</t>
    </r>
  </si>
  <si>
    <t>as of January 30, 2025</t>
  </si>
  <si>
    <t>turned-in to credit</t>
  </si>
  <si>
    <t>AXA CP</t>
  </si>
  <si>
    <t>as of January 31, 2025 - unofficial</t>
  </si>
  <si>
    <r>
      <rPr>
        <rFont val="Calibri,Arial"/>
        <b/>
        <color rgb="FFFFFFFF"/>
        <sz val="24.0"/>
      </rPr>
      <t xml:space="preserve">FEBRUARY TRANSMITTALS </t>
    </r>
    <r>
      <rPr>
        <rFont val="Calibri,Arial"/>
        <b/>
        <color rgb="FFFFFF00"/>
        <sz val="24.0"/>
      </rPr>
      <t>(INTERNAL)</t>
    </r>
  </si>
  <si>
    <t>as of February 27, 2025 - FINAL</t>
  </si>
  <si>
    <t>as of February 28, 2025 -  FINAL</t>
  </si>
  <si>
    <t>Tapped rate</t>
  </si>
  <si>
    <t>as of February 18, 2025-FINAL</t>
  </si>
  <si>
    <t>as of February 28, 2025</t>
  </si>
  <si>
    <t>as of February 27, 2025 unoffical</t>
  </si>
  <si>
    <t>as of February 28, 2025 - FINAL</t>
  </si>
  <si>
    <t>as of February 24, 2025</t>
  </si>
  <si>
    <r>
      <rPr>
        <rFont val="Calibri,Arial"/>
        <b/>
        <color rgb="FFFFFFFF"/>
        <sz val="24.0"/>
      </rPr>
      <t>FEBRUARY ACTIVATIONS /</t>
    </r>
    <r>
      <rPr>
        <rFont val="Calibri,Arial"/>
        <b/>
        <color rgb="FFFFFF00"/>
        <sz val="24.0"/>
      </rPr>
      <t xml:space="preserve"> APPROVALS / RATES / BOOKED (INTERNAL)</t>
    </r>
  </si>
  <si>
    <t>as of February 28, 2025-FINAL</t>
  </si>
  <si>
    <t>as of February 28, 2025- FINAL unofficial</t>
  </si>
  <si>
    <t>As of February 28, 2025 unoffical</t>
  </si>
  <si>
    <t>as of February 28 2025 - FINAL</t>
  </si>
  <si>
    <r>
      <rPr>
        <rFont val="Calibri,Arial"/>
        <b/>
        <color rgb="FFFFFFFF"/>
        <sz val="24.0"/>
      </rPr>
      <t xml:space="preserve">MARCH TRANSMITTALS </t>
    </r>
    <r>
      <rPr>
        <rFont val="Calibri,Arial"/>
        <b/>
        <color rgb="FFFFFF00"/>
        <sz val="24.0"/>
      </rPr>
      <t>(INTERNAL)</t>
    </r>
  </si>
  <si>
    <t>As of March 29, 2025</t>
  </si>
  <si>
    <t>As of March 31. 2025</t>
  </si>
  <si>
    <t>FINAL</t>
  </si>
  <si>
    <t>Tap rate</t>
  </si>
  <si>
    <t>as of March 19, 2025</t>
  </si>
  <si>
    <t>as of March 31, 2025</t>
  </si>
  <si>
    <t>As of March 31 2025</t>
  </si>
  <si>
    <t>BDO ONLINE</t>
  </si>
  <si>
    <t>CBC ACQUI</t>
  </si>
  <si>
    <t>as of March 24, 2025</t>
  </si>
  <si>
    <r>
      <rPr>
        <rFont val="Calibri,Arial"/>
        <b/>
        <color rgb="FFFFFFFF"/>
        <sz val="24.0"/>
      </rPr>
      <t>MARCH ACTIVATIONS /</t>
    </r>
    <r>
      <rPr>
        <rFont val="Calibri,Arial"/>
        <b/>
        <color rgb="FFFFFF00"/>
        <sz val="24.0"/>
      </rPr>
      <t xml:space="preserve"> APPROVALS / RATES / BOOKED (INTERNAL)</t>
    </r>
  </si>
  <si>
    <t>Transmitted</t>
  </si>
  <si>
    <t xml:space="preserve">AXA </t>
  </si>
  <si>
    <r>
      <rPr>
        <rFont val="Calibri,Arial"/>
        <b/>
        <color rgb="FFFFFFFF"/>
        <sz val="24.0"/>
      </rPr>
      <t xml:space="preserve">APRIL TRANSMITTALS </t>
    </r>
    <r>
      <rPr>
        <rFont val="Calibri,Arial"/>
        <b/>
        <color rgb="FFFFFF00"/>
        <sz val="24.0"/>
      </rPr>
      <t>(INTERNAL)</t>
    </r>
  </si>
  <si>
    <t>as of April 29, 2025</t>
  </si>
  <si>
    <t>as of April 30, 2025</t>
  </si>
  <si>
    <t>as of April 16, 2025-FINAL</t>
  </si>
  <si>
    <t>as of April 30, 2025- unoffcial</t>
  </si>
  <si>
    <t>as of April 30, 2025 - final</t>
  </si>
  <si>
    <t>as of April 24, 2025 - final</t>
  </si>
  <si>
    <t>as of April 30, 2025 -final</t>
  </si>
  <si>
    <r>
      <rPr>
        <rFont val="Calibri,Arial"/>
        <b/>
        <color rgb="FFFFFFFF"/>
        <sz val="24.0"/>
      </rPr>
      <t>APRIL ACTIVATIONS /</t>
    </r>
    <r>
      <rPr>
        <rFont val="Calibri,Arial"/>
        <b/>
        <color rgb="FFFFFF00"/>
        <sz val="24.0"/>
      </rPr>
      <t xml:space="preserve"> APPROVALS / RATES / BOOKED (INTERNAL)</t>
    </r>
  </si>
  <si>
    <t>as of April 30, 2025 - Final</t>
  </si>
  <si>
    <r>
      <rPr>
        <rFont val="Calibri,Arial"/>
        <b/>
        <color rgb="FFFFFFFF"/>
        <sz val="24.0"/>
      </rPr>
      <t xml:space="preserve">MAY TRANSMITTALS </t>
    </r>
    <r>
      <rPr>
        <rFont val="Calibri,Arial"/>
        <b/>
        <color rgb="FFFFFF00"/>
        <sz val="24.0"/>
      </rPr>
      <t>(INTERNAL)</t>
    </r>
  </si>
  <si>
    <t>As of May 29, 2025 - FINAL</t>
  </si>
  <si>
    <t>As of May 30, 2025 - FINAL</t>
  </si>
  <si>
    <t>as of May 20, 2025-FINAL</t>
  </si>
  <si>
    <t>as of May 21, 2025-FINAL</t>
  </si>
  <si>
    <t>as of May 31 2025-unofficial</t>
  </si>
  <si>
    <t>as of May 30, 2025 - final</t>
  </si>
  <si>
    <t>as of May 30, 2025 - FINAL</t>
  </si>
  <si>
    <t>As of May 23, 2025 - FINAL</t>
  </si>
  <si>
    <t>As of May 31, 2025 - FINAL</t>
  </si>
  <si>
    <r>
      <rPr>
        <rFont val="Calibri,Arial"/>
        <b/>
        <color rgb="FFFFFFFF"/>
        <sz val="24.0"/>
      </rPr>
      <t>MAY ACTIVATIONS /</t>
    </r>
    <r>
      <rPr>
        <rFont val="Calibri,Arial"/>
        <b/>
        <color rgb="FFFFFF00"/>
        <sz val="24.0"/>
      </rPr>
      <t xml:space="preserve"> APPROVALS / RATES / BOOKED (INTERNAL)</t>
    </r>
  </si>
  <si>
    <t>as of May 31, 2025-FINAL</t>
  </si>
  <si>
    <r>
      <rPr>
        <rFont val="Calibri,Arial"/>
        <b/>
        <color rgb="FFFFFFFF"/>
        <sz val="24.0"/>
      </rPr>
      <t xml:space="preserve">JUNE TRANSMITTALS </t>
    </r>
    <r>
      <rPr>
        <rFont val="Calibri,Arial"/>
        <b/>
        <color rgb="FFFFFF00"/>
        <sz val="24.0"/>
      </rPr>
      <t>(INTERNAL)</t>
    </r>
  </si>
  <si>
    <t>As of June 30, 2025 - FINAL</t>
  </si>
  <si>
    <t>as of June 19, 2025-FINAL</t>
  </si>
  <si>
    <t>as of June 30, 2025-FINAL</t>
  </si>
  <si>
    <t>As of June 30, 2025</t>
  </si>
  <si>
    <t>June 30, 2025-FINAL</t>
  </si>
  <si>
    <t>as of June 30, 2025 - FINAL</t>
  </si>
  <si>
    <t>as of June 24, 2025 - FINAL</t>
  </si>
  <si>
    <r>
      <rPr>
        <rFont val="Calibri,Arial"/>
        <b/>
        <color rgb="FFFFFFFF"/>
        <sz val="24.0"/>
      </rPr>
      <t>JUNE ACTIVATIONS /</t>
    </r>
    <r>
      <rPr>
        <rFont val="Calibri,Arial"/>
        <b/>
        <color rgb="FFFFFF00"/>
        <sz val="24.0"/>
      </rPr>
      <t xml:space="preserve"> APPROVALS / RATES / BOOKED (INTERNAL)</t>
    </r>
  </si>
  <si>
    <t>Approvals</t>
  </si>
  <si>
    <t>Disbursement</t>
  </si>
  <si>
    <r>
      <rPr>
        <rFont val="Calibri,Arial"/>
        <b/>
        <color rgb="FFFFFFFF"/>
        <sz val="24.0"/>
      </rPr>
      <t xml:space="preserve">JULY TRANSMITTALS </t>
    </r>
    <r>
      <rPr>
        <rFont val="Calibri,Arial"/>
        <b/>
        <color rgb="FFFFFF00"/>
        <sz val="24.0"/>
      </rPr>
      <t>(INTERNAL)</t>
    </r>
  </si>
  <si>
    <t>As of July 30, 2025 - FINAL</t>
  </si>
  <si>
    <t>As of July 31, 2025 - FINAL</t>
  </si>
  <si>
    <t>as of July 22, 2025-FINAL</t>
  </si>
  <si>
    <t>as of July 29, 2025</t>
  </si>
  <si>
    <t>as of July 31, 2025</t>
  </si>
  <si>
    <t>BDO AEM</t>
  </si>
  <si>
    <t>BDO CRM</t>
  </si>
  <si>
    <t>as of July 24, 2025 - FINAL</t>
  </si>
  <si>
    <t>BDO CCC</t>
  </si>
  <si>
    <t>Quality</t>
  </si>
  <si>
    <r>
      <rPr>
        <rFont val="Calibri,Arial"/>
        <b/>
        <color rgb="FFFFFFFF"/>
        <sz val="24.0"/>
      </rPr>
      <t>JULY ACTIVATIONS /</t>
    </r>
    <r>
      <rPr>
        <rFont val="Calibri,Arial"/>
        <b/>
        <color rgb="FFFFFF00"/>
        <sz val="24.0"/>
      </rPr>
      <t xml:space="preserve"> APPROVALS / RATES / BOOKED (INTERNAL)</t>
    </r>
  </si>
  <si>
    <t>As of July 31, 2025</t>
  </si>
  <si>
    <t>as of July 31, 2025- FINAL Unofficial</t>
  </si>
  <si>
    <t>as of July 31, 2025 - FINAL</t>
  </si>
  <si>
    <r>
      <rPr>
        <rFont val="Calibri,Arial"/>
        <b/>
        <color rgb="FFFFFFFF"/>
        <sz val="24.0"/>
      </rPr>
      <t xml:space="preserve">AUGUST TRANSMITTALS </t>
    </r>
    <r>
      <rPr>
        <rFont val="Calibri,Arial"/>
        <b/>
        <color rgb="FFFFFF00"/>
        <sz val="24.0"/>
      </rPr>
      <t>(INTERNAL)</t>
    </r>
  </si>
  <si>
    <t>as of August 28, 2025 - FINAL</t>
  </si>
  <si>
    <t>as of August 30, 2025</t>
  </si>
  <si>
    <t>as of August 29, 2025</t>
  </si>
  <si>
    <t>as of August 15, 2025- FINAL</t>
  </si>
  <si>
    <t>as of August 30, 2025-FINAL Unofficial</t>
  </si>
  <si>
    <t>as of August 29, 2025 - FINAL</t>
  </si>
  <si>
    <t>as of August 24, 2025</t>
  </si>
  <si>
    <t>CBC PA</t>
  </si>
  <si>
    <t>as of August 31, 2025 - FINAL computation from reports</t>
  </si>
  <si>
    <t>as of August 31, 2025</t>
  </si>
  <si>
    <r>
      <rPr>
        <rFont val="Calibri,Arial"/>
        <b/>
        <color rgb="FFFFFFFF"/>
        <sz val="24.0"/>
      </rPr>
      <t>AUGUST ACTIVATIONS /</t>
    </r>
    <r>
      <rPr>
        <rFont val="Calibri,Arial"/>
        <b/>
        <color rgb="FFFFFF00"/>
        <sz val="24.0"/>
      </rPr>
      <t xml:space="preserve"> APPROVALS / RATES / BOOKED (INTERNAL)</t>
    </r>
  </si>
  <si>
    <t>As of August 29, 2025 - FINAL</t>
  </si>
  <si>
    <t>As of August 28, 2025 - FINAL</t>
  </si>
  <si>
    <t>as of August 29, 2025-FINAL</t>
  </si>
  <si>
    <t>as of August  31, 2025 FINAL</t>
  </si>
  <si>
    <t>as of August 27, 2025</t>
  </si>
  <si>
    <t>as of August 31, 2025 -FINAL</t>
  </si>
  <si>
    <r>
      <rPr>
        <rFont val="Calibri,Arial"/>
        <b/>
        <color rgb="FFFFFFFF"/>
        <sz val="24.0"/>
      </rPr>
      <t xml:space="preserve">SEPTEMBER TRANSMITTALS </t>
    </r>
    <r>
      <rPr>
        <rFont val="Calibri,Arial"/>
        <b/>
        <color rgb="FFFFFF00"/>
        <sz val="24.0"/>
      </rPr>
      <t>(INTERNAL)</t>
    </r>
  </si>
  <si>
    <t>as of September 29, 2025 - FINAL</t>
  </si>
  <si>
    <t>as of September 30, 2025 - FINAL</t>
  </si>
  <si>
    <t>as of September 29, 2025</t>
  </si>
  <si>
    <t>as of September 19, 2025-FINAL</t>
  </si>
  <si>
    <t>as of September 30, 2025</t>
  </si>
  <si>
    <t>as of September 24, 2025 - FINAL</t>
  </si>
  <si>
    <t>as of September 30, 2025 FINAL</t>
  </si>
  <si>
    <r>
      <rPr>
        <rFont val="Calibri,Arial"/>
        <b/>
        <color rgb="FFFFFFFF"/>
        <sz val="24.0"/>
      </rPr>
      <t>SEPTEMBER ACTIVATIONS /</t>
    </r>
    <r>
      <rPr>
        <rFont val="Calibri,Arial"/>
        <b/>
        <color rgb="FFFFFF00"/>
        <sz val="24.0"/>
      </rPr>
      <t xml:space="preserve"> APPROVALS / RATES / BOOKED (INTERNAL)</t>
    </r>
  </si>
  <si>
    <t>As of September 30, 2025 - FINAL</t>
  </si>
  <si>
    <t>BDO EAM</t>
  </si>
  <si>
    <r>
      <rPr>
        <rFont val="Calibri,Arial"/>
        <b/>
        <color rgb="FFFFFFFF"/>
        <sz val="24.0"/>
      </rPr>
      <t xml:space="preserve">OCTOBER TRANSMITTALS </t>
    </r>
    <r>
      <rPr>
        <rFont val="Calibri,Arial"/>
        <b/>
        <color rgb="FFFFFF00"/>
        <sz val="24.0"/>
      </rPr>
      <t>(INTERNAL)</t>
    </r>
  </si>
  <si>
    <t>As of October 29, 2025 - FINAL</t>
  </si>
  <si>
    <t>As of October 30, 2025 - FINAL</t>
  </si>
  <si>
    <t>as of October 21, 2025- FINAL</t>
  </si>
  <si>
    <t>as of October 30, 2025- FINAL UNOFFICIAL</t>
  </si>
  <si>
    <t>As of Oct 30, 2025</t>
  </si>
  <si>
    <t>as of October 30, 2025</t>
  </si>
  <si>
    <t>As of October 30, 2025- FINAL</t>
  </si>
  <si>
    <t>As of October 24, 2025 - FINAL</t>
  </si>
  <si>
    <t>As of October 30, 2025</t>
  </si>
  <si>
    <r>
      <rPr>
        <rFont val="Calibri,Arial"/>
        <b/>
        <color rgb="FFFFFFFF"/>
        <sz val="24.0"/>
      </rPr>
      <t>OCTOBER ACTIVATIONS /</t>
    </r>
    <r>
      <rPr>
        <rFont val="Calibri,Arial"/>
        <b/>
        <color rgb="FFFFFF00"/>
        <sz val="24.0"/>
      </rPr>
      <t xml:space="preserve"> APPROVALS / RATES / BOOKED (INTERNAL)</t>
    </r>
  </si>
  <si>
    <t>as of October 30, 2025-FINAL</t>
  </si>
  <si>
    <t>as of October 23, 2025</t>
  </si>
  <si>
    <r>
      <rPr>
        <rFont val="Calibri,Arial"/>
        <b/>
        <color rgb="FFFFFFFF"/>
        <sz val="24.0"/>
      </rPr>
      <t xml:space="preserve">NOVEMBER TRANSMITTALS </t>
    </r>
    <r>
      <rPr>
        <rFont val="Calibri,Arial"/>
        <b/>
        <color rgb="FFFFFF00"/>
        <sz val="24.0"/>
      </rPr>
      <t>(INTERNAL)</t>
    </r>
  </si>
  <si>
    <t>as of November 27, 2025 - FINAL</t>
  </si>
  <si>
    <t>as of November 28, 2025 - Final</t>
  </si>
  <si>
    <t>as of November 19, 2025-FINAL</t>
  </si>
  <si>
    <t>as of November 29, 2025</t>
  </si>
  <si>
    <t>as of November 28, 2025</t>
  </si>
  <si>
    <t>unofficial</t>
  </si>
  <si>
    <t>as of November 30, 2025</t>
  </si>
  <si>
    <t>as of November 24, 2025 final</t>
  </si>
  <si>
    <t>as of November 28, 2025 final</t>
  </si>
  <si>
    <t>as of November 30 2025 final</t>
  </si>
  <si>
    <t>as of November 30 2025</t>
  </si>
  <si>
    <r>
      <rPr>
        <rFont val="Calibri,Arial"/>
        <b/>
        <color rgb="FFFFFFFF"/>
        <sz val="24.0"/>
      </rPr>
      <t>NOVEMBER ACTIVATIONS /</t>
    </r>
    <r>
      <rPr>
        <rFont val="Calibri,Arial"/>
        <b/>
        <color rgb="FFFFFF00"/>
        <sz val="24.0"/>
      </rPr>
      <t xml:space="preserve"> APPROVALS / RATES / BOOKED (INTERNAL)</t>
    </r>
  </si>
  <si>
    <t>as of November 28, 2025 - FINAL</t>
  </si>
  <si>
    <t>as of November 30, 2025 final</t>
  </si>
  <si>
    <r>
      <rPr>
        <rFont val="Calibri,Arial"/>
        <b/>
        <color rgb="FFFFFFFF"/>
        <sz val="24.0"/>
      </rPr>
      <t xml:space="preserve">DECEMBER TRANSMITTALS </t>
    </r>
    <r>
      <rPr>
        <rFont val="Calibri,Arial"/>
        <b/>
        <color rgb="FFFFFF00"/>
        <sz val="24.0"/>
      </rPr>
      <t>(INTERNAL)</t>
    </r>
  </si>
  <si>
    <t>as of December 27, 2025 - FINAL</t>
  </si>
  <si>
    <t>as of December 29 2025 - FINAL</t>
  </si>
  <si>
    <t>as of December 29 2025</t>
  </si>
  <si>
    <t>as of December 15, 2025-FINAL</t>
  </si>
  <si>
    <t>as of December 17, 2025-FINAL</t>
  </si>
  <si>
    <t>as of December 30, 2025</t>
  </si>
  <si>
    <t>as of December 15, 2025</t>
  </si>
  <si>
    <t>as of December 29, 2025</t>
  </si>
  <si>
    <t>as of December 29, 2025 - FINAL</t>
  </si>
  <si>
    <t>as of December 23, 2025 - FINAL</t>
  </si>
  <si>
    <t>as of December 29, 2025-FINAL</t>
  </si>
  <si>
    <t>as of December 31, 2025 - FINAL</t>
  </si>
  <si>
    <t>as of December 14, 2025</t>
  </si>
  <si>
    <r>
      <rPr>
        <rFont val="Calibri,Arial"/>
        <b/>
        <color rgb="FFFFFFFF"/>
        <sz val="24.0"/>
      </rPr>
      <t>DECEMBER ACTIVATIONS /</t>
    </r>
    <r>
      <rPr>
        <rFont val="Calibri,Arial"/>
        <b/>
        <color rgb="FFFFFF00"/>
        <sz val="24.0"/>
      </rPr>
      <t xml:space="preserve"> APPROVALS / RATES / BOOKED (INTERNAL)</t>
    </r>
  </si>
  <si>
    <t>as of December 18, 2025</t>
  </si>
  <si>
    <t>as of December 31, 2025 - final</t>
  </si>
  <si>
    <t>PARTNERS/ VENDORS</t>
  </si>
  <si>
    <t>RANK</t>
  </si>
  <si>
    <t>ALLIANZ</t>
  </si>
  <si>
    <t>BPO #1</t>
  </si>
  <si>
    <t>BPO #2</t>
  </si>
  <si>
    <t>BPI PERSONAL LOANS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</si>
  <si>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</si>
  <si>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</si>
  <si>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</si>
  <si>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</si>
  <si>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</si>
  <si>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</si>
  <si>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</si>
  <si>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</si>
  <si>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</si>
  <si>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</si>
  <si>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</si>
  <si>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</si>
  <si>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MB ACQUI</t>
  </si>
  <si>
    <t>SSG</t>
  </si>
  <si>
    <t>BPO 2</t>
  </si>
  <si>
    <t>BPO #3</t>
  </si>
  <si>
    <t>BPO 1</t>
  </si>
  <si>
    <t>DUCUSIN</t>
  </si>
  <si>
    <t>SYNTHESIS</t>
  </si>
  <si>
    <t>DTECH</t>
  </si>
  <si>
    <t>YTD</t>
  </si>
  <si>
    <t>MB MBOA</t>
  </si>
  <si>
    <t>102%%</t>
  </si>
  <si>
    <t>94%%</t>
  </si>
  <si>
    <t>89%%</t>
  </si>
  <si>
    <t>62%%</t>
  </si>
  <si>
    <t>ASI</t>
  </si>
  <si>
    <t>VVBSI</t>
  </si>
  <si>
    <t>HCD</t>
  </si>
  <si>
    <r>
      <rPr>
        <rFont val="Calibri,Arial"/>
        <b/>
        <color rgb="FFFFFFFF"/>
        <sz val="24.0"/>
      </rPr>
      <t xml:space="preserve">SEPTEMBER TRANSMITTALS </t>
    </r>
    <r>
      <rPr>
        <rFont val="Calibri,Arial"/>
        <b/>
        <color rgb="FFFFFF00"/>
        <sz val="24.0"/>
      </rPr>
      <t>(INTERNAL)</t>
    </r>
  </si>
  <si>
    <t>as of September 22, 2025</t>
  </si>
  <si>
    <t>as of September 19, 2025</t>
  </si>
  <si>
    <t>as of September 18, 2025</t>
  </si>
  <si>
    <r>
      <rPr>
        <rFont val="Calibri,Arial"/>
        <b/>
        <color rgb="FFFFFFFF"/>
        <sz val="24.0"/>
      </rPr>
      <t>SEPTEMBER ACTIVATIONS /</t>
    </r>
    <r>
      <rPr>
        <rFont val="Calibri,Arial"/>
        <b/>
        <color rgb="FFFFFF00"/>
        <sz val="24.0"/>
      </rPr>
      <t xml:space="preserve"> APPROVALS / RATES / BOOKED (INTERNAL)</t>
    </r>
  </si>
  <si>
    <t>As of September 18, 2025</t>
  </si>
  <si>
    <t>CBC ACQUI SUPPLE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</si>
</sst>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mmmm d, yyyy"/>
  </numFmts>
  <fonts count="23">
    <font>
      <sz val="10.0"/>
      <color rgb="FF000000"/>
      <name val="Arial"/>
      <scheme val="minor"/>
    </font>
    <font>
      <b/>
      <sz val="24.0"/>
      <color rgb="FFFFFFFF"/>
      <name val="Calibri"/>
    </font>
    <font>
      <color theme="1"/>
      <name val="Arial"/>
    </font>
    <font/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sz val="12.0"/>
      <color theme="1"/>
      <name val="Calibri"/>
    </font>
    <font>
      <b/>
      <sz val="20.0"/>
      <color rgb="FFFFFFFF"/>
      <name val="Calibri"/>
    </font>
    <font>
      <color rgb="FF000000"/>
      <name val="Arial"/>
    </font>
    <font>
      <sz val="11.0"/>
      <color rgb="FF000000"/>
      <name val="Calibri"/>
    </font>
    <font>
      <b/>
      <sz val="11.0"/>
      <color rgb="FFFFFFFF"/>
      <name val="Open Sans"/>
    </font>
    <font>
      <b/>
      <sz val="11.0"/>
      <color theme="1"/>
      <name val="Open Sans"/>
    </font>
    <font>
      <sz val="7.0"/>
      <color theme="1"/>
      <name val="Arial"/>
      <scheme val="minor"/>
    </font>
    <font>
      <sz val="11.0"/>
      <color theme="1"/>
      <name val="Open Sans"/>
    </font>
    <font>
      <color rgb="FFFFFFFF"/>
      <name val="Arial"/>
    </font>
    <font>
      <b/>
      <color theme="1"/>
      <name val="Arial"/>
    </font>
    <font>
      <sz val="9.0"/>
      <color theme="1"/>
      <name val="Arial"/>
    </font>
    <font>
      <sz val="9.0"/>
      <color rgb="FF000000"/>
      <name val="&quot;Calibri Light&quot;"/>
    </font>
    <font>
      <sz val="9.0"/>
      <color rgb="FF000000"/>
      <name val="Arial"/>
    </font>
    <font>
      <i/>
      <sz val="8.0"/>
      <color theme="1"/>
      <name val="Arial"/>
    </font>
    <font>
      <i/>
      <sz val="7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60D76"/>
        <bgColor rgb="FF160D76"/>
      </patternFill>
    </fill>
    <fill>
      <patternFill patternType="solid">
        <fgColor rgb="FF4094D9"/>
        <bgColor rgb="FF4094D9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BF00"/>
        <bgColor rgb="FFFFBF00"/>
      </patternFill>
    </fill>
  </fills>
  <borders count="12">
    <border/>
    <border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</border>
    <border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bottom"/>
    </xf>
    <xf borderId="0" fillId="2" fontId="1" numFmtId="0" xfId="0" applyAlignment="1" applyFont="1">
      <alignment horizontal="left" vertical="bottom"/>
    </xf>
    <xf borderId="0" fillId="2" fontId="2" numFmtId="0" xfId="0" applyAlignment="1" applyFont="1">
      <alignment horizontal="left" vertical="bottom"/>
    </xf>
    <xf borderId="1" fillId="0" fontId="3" numFmtId="0" xfId="0" applyBorder="1" applyFont="1"/>
    <xf borderId="2" fillId="3" fontId="4" numFmtId="0" xfId="0" applyAlignment="1" applyBorder="1" applyFill="1" applyFont="1">
      <alignment horizontal="left" vertical="bottom"/>
    </xf>
    <xf borderId="2" fillId="3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3" fillId="0" fontId="3" numFmtId="0" xfId="0" applyBorder="1" applyFont="1"/>
    <xf borderId="4" fillId="3" fontId="4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left" readingOrder="0" vertical="bottom"/>
    </xf>
    <xf borderId="5" fillId="0" fontId="5" numFmtId="0" xfId="0" applyAlignment="1" applyBorder="1" applyFont="1">
      <alignment horizontal="left" vertical="bottom"/>
    </xf>
    <xf borderId="5" fillId="0" fontId="6" numFmtId="4" xfId="0" applyAlignment="1" applyBorder="1" applyFont="1" applyNumberFormat="1">
      <alignment horizontal="center" readingOrder="0" vertical="bottom"/>
    </xf>
    <xf borderId="5" fillId="0" fontId="6" numFmtId="4" xfId="0" applyAlignment="1" applyBorder="1" applyFont="1" applyNumberFormat="1">
      <alignment horizontal="right" readingOrder="0" vertical="bottom"/>
    </xf>
    <xf borderId="5" fillId="0" fontId="6" numFmtId="4" xfId="0" applyAlignment="1" applyBorder="1" applyFont="1" applyNumberFormat="1">
      <alignment horizontal="center" vertical="bottom"/>
    </xf>
    <xf borderId="5" fillId="4" fontId="5" numFmtId="9" xfId="0" applyAlignment="1" applyBorder="1" applyFill="1" applyFont="1" applyNumberFormat="1">
      <alignment horizontal="center" vertical="bottom"/>
    </xf>
    <xf borderId="5" fillId="4" fontId="5" numFmtId="3" xfId="0" applyAlignment="1" applyBorder="1" applyFont="1" applyNumberFormat="1">
      <alignment horizontal="center" vertical="bottom"/>
    </xf>
    <xf borderId="5" fillId="5" fontId="5" numFmtId="10" xfId="0" applyAlignment="1" applyBorder="1" applyFill="1" applyFont="1" applyNumberFormat="1">
      <alignment horizontal="center" vertical="bottom"/>
    </xf>
    <xf borderId="5" fillId="0" fontId="6" numFmtId="0" xfId="0" applyAlignment="1" applyBorder="1" applyFont="1">
      <alignment horizontal="center" readingOrder="0" vertical="bottom"/>
    </xf>
    <xf borderId="5" fillId="0" fontId="6" numFmtId="3" xfId="0" applyAlignment="1" applyBorder="1" applyFont="1" applyNumberFormat="1">
      <alignment horizontal="center" readingOrder="0" vertical="bottom"/>
    </xf>
    <xf borderId="0" fillId="0" fontId="7" numFmtId="0" xfId="0" applyAlignment="1" applyFont="1">
      <alignment readingOrder="0"/>
    </xf>
    <xf borderId="5" fillId="0" fontId="6" numFmtId="9" xfId="0" applyAlignment="1" applyBorder="1" applyFont="1" applyNumberFormat="1">
      <alignment horizontal="center" readingOrder="0" vertical="bottom"/>
    </xf>
    <xf borderId="5" fillId="4" fontId="5" numFmtId="10" xfId="0" applyAlignment="1" applyBorder="1" applyFont="1" applyNumberFormat="1">
      <alignment horizontal="center" vertical="bottom"/>
    </xf>
    <xf borderId="5" fillId="0" fontId="6" numFmtId="10" xfId="0" applyAlignment="1" applyBorder="1" applyFont="1" applyNumberFormat="1">
      <alignment horizontal="center" readingOrder="0" vertical="bottom"/>
    </xf>
    <xf borderId="5" fillId="0" fontId="2" numFmtId="9" xfId="0" applyAlignment="1" applyBorder="1" applyFont="1" applyNumberFormat="1">
      <alignment horizontal="center" readingOrder="0" vertical="bottom"/>
    </xf>
    <xf borderId="5" fillId="0" fontId="6" numFmtId="10" xfId="0" applyAlignment="1" applyBorder="1" applyFont="1" applyNumberFormat="1">
      <alignment horizontal="center" vertical="bottom"/>
    </xf>
    <xf borderId="5" fillId="4" fontId="5" numFmtId="9" xfId="0" applyAlignment="1" applyBorder="1" applyFont="1" applyNumberFormat="1">
      <alignment horizontal="center" readingOrder="0" vertical="bottom"/>
    </xf>
    <xf borderId="5" fillId="6" fontId="6" numFmtId="10" xfId="0" applyAlignment="1" applyBorder="1" applyFill="1" applyFont="1" applyNumberFormat="1">
      <alignment horizontal="center" readingOrder="0" vertical="bottom"/>
    </xf>
    <xf borderId="5" fillId="5" fontId="5" numFmtId="164" xfId="0" applyAlignment="1" applyBorder="1" applyFont="1" applyNumberForma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5" fillId="0" fontId="6" numFmtId="3" xfId="0" applyAlignment="1" applyBorder="1" applyFont="1" applyNumberFormat="1">
      <alignment horizontal="center" vertical="bottom"/>
    </xf>
    <xf borderId="6" fillId="0" fontId="8" numFmtId="3" xfId="0" applyAlignment="1" applyBorder="1" applyFont="1" applyNumberFormat="1">
      <alignment horizontal="right" readingOrder="0" vertical="bottom"/>
    </xf>
    <xf borderId="5" fillId="0" fontId="2" numFmtId="4" xfId="0" applyAlignment="1" applyBorder="1" applyFont="1" applyNumberForma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5" fillId="0" fontId="2" numFmtId="3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horizontal="left" vertical="bottom"/>
    </xf>
    <xf borderId="0" fillId="0" fontId="2" numFmtId="4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6" fontId="2" numFmtId="9" xfId="0" applyAlignment="1" applyFont="1" applyNumberFormat="1">
      <alignment vertical="bottom"/>
    </xf>
    <xf borderId="0" fillId="4" fontId="2" numFmtId="3" xfId="0" applyAlignment="1" applyFont="1" applyNumberFormat="1">
      <alignment vertical="bottom"/>
    </xf>
    <xf borderId="0" fillId="5" fontId="2" numFmtId="9" xfId="0" applyAlignment="1" applyFont="1" applyNumberFormat="1">
      <alignment vertical="bottom"/>
    </xf>
    <xf borderId="0" fillId="2" fontId="1" numFmtId="0" xfId="0" applyAlignment="1" applyFont="1">
      <alignment horizontal="left" readingOrder="0" vertical="bottom"/>
    </xf>
    <xf borderId="5" fillId="5" fontId="5" numFmtId="164" xfId="0" applyAlignment="1" applyBorder="1" applyFont="1" applyNumberFormat="1">
      <alignment horizontal="center" vertical="bottom"/>
    </xf>
    <xf borderId="5" fillId="0" fontId="2" numFmtId="10" xfId="0" applyAlignment="1" applyBorder="1" applyFont="1" applyNumberFormat="1">
      <alignment horizontal="center" readingOrder="0" vertical="bottom"/>
    </xf>
    <xf borderId="5" fillId="0" fontId="6" numFmtId="0" xfId="0" applyAlignment="1" applyBorder="1" applyFont="1">
      <alignment horizontal="center" vertical="bottom"/>
    </xf>
    <xf borderId="5" fillId="0" fontId="2" numFmtId="3" xfId="0" applyAlignment="1" applyBorder="1" applyFont="1" applyNumberFormat="1">
      <alignment horizontal="center" vertical="bottom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left" readingOrder="0" vertical="bottom"/>
    </xf>
    <xf borderId="0" fillId="0" fontId="6" numFmtId="9" xfId="0" applyAlignment="1" applyFont="1" applyNumberFormat="1">
      <alignment horizontal="center" vertical="bottom"/>
    </xf>
    <xf borderId="0" fillId="0" fontId="2" numFmtId="9" xfId="0" applyAlignment="1" applyFont="1" applyNumberFormat="1">
      <alignment horizontal="center" vertical="bottom"/>
    </xf>
    <xf borderId="0" fillId="6" fontId="6" numFmtId="9" xfId="0" applyAlignment="1" applyFont="1" applyNumberFormat="1">
      <alignment horizontal="center" vertical="bottom"/>
    </xf>
    <xf borderId="0" fillId="4" fontId="5" numFmtId="10" xfId="0" applyAlignment="1" applyFont="1" applyNumberFormat="1">
      <alignment horizontal="center" vertical="bottom"/>
    </xf>
    <xf borderId="0" fillId="5" fontId="5" numFmtId="164" xfId="0" applyAlignment="1" applyFont="1" applyNumberForma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5" fillId="0" fontId="6" numFmtId="9" xfId="0" applyAlignment="1" applyBorder="1" applyFont="1" applyNumberFormat="1">
      <alignment horizontal="center" vertical="bottom"/>
    </xf>
    <xf borderId="5" fillId="6" fontId="5" numFmtId="10" xfId="0" applyAlignment="1" applyBorder="1" applyFont="1" applyNumberFormat="1">
      <alignment horizontal="center" readingOrder="0" vertical="bottom"/>
    </xf>
    <xf borderId="5" fillId="5" fontId="5" numFmtId="9" xfId="0" applyAlignment="1" applyBorder="1" applyFont="1" applyNumberFormat="1">
      <alignment horizontal="center" vertical="bottom"/>
    </xf>
    <xf borderId="7" fillId="0" fontId="6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left" readingOrder="0"/>
    </xf>
    <xf borderId="8" fillId="0" fontId="6" numFmtId="0" xfId="0" applyAlignment="1" applyBorder="1" applyFont="1">
      <alignment horizontal="center" readingOrder="0" vertical="bottom"/>
    </xf>
    <xf borderId="9" fillId="0" fontId="6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left" readingOrder="0" vertical="bottom"/>
    </xf>
    <xf borderId="8" fillId="0" fontId="6" numFmtId="0" xfId="0" applyAlignment="1" applyBorder="1" applyFont="1">
      <alignment horizontal="center" vertical="bottom"/>
    </xf>
    <xf borderId="9" fillId="0" fontId="6" numFmtId="3" xfId="0" applyAlignment="1" applyBorder="1" applyFont="1" applyNumberFormat="1">
      <alignment horizontal="center" vertical="bottom"/>
    </xf>
    <xf borderId="5" fillId="0" fontId="6" numFmtId="0" xfId="0" applyAlignment="1" applyBorder="1" applyFont="1">
      <alignment horizontal="center" vertical="bottom"/>
    </xf>
    <xf borderId="0" fillId="0" fontId="7" numFmtId="0" xfId="0" applyFont="1"/>
    <xf borderId="0" fillId="2" fontId="9" numFmtId="0" xfId="0" applyAlignment="1" applyFont="1">
      <alignment horizontal="left" vertical="bottom"/>
    </xf>
    <xf borderId="8" fillId="0" fontId="6" numFmtId="3" xfId="0" applyAlignment="1" applyBorder="1" applyFont="1" applyNumberFormat="1">
      <alignment horizontal="center" vertical="bottom"/>
    </xf>
    <xf borderId="0" fillId="0" fontId="6" numFmtId="4" xfId="0" applyAlignment="1" applyFont="1" applyNumberFormat="1">
      <alignment horizontal="left" vertical="bottom"/>
    </xf>
    <xf borderId="0" fillId="0" fontId="7" numFmtId="4" xfId="0" applyAlignment="1" applyFont="1" applyNumberFormat="1">
      <alignment readingOrder="0"/>
    </xf>
    <xf borderId="5" fillId="4" fontId="5" numFmtId="10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readingOrder="0" vertical="bottom"/>
    </xf>
    <xf borderId="5" fillId="6" fontId="5" numFmtId="9" xfId="0" applyAlignment="1" applyBorder="1" applyFont="1" applyNumberFormat="1">
      <alignment horizontal="center" vertical="bottom"/>
    </xf>
    <xf borderId="10" fillId="0" fontId="6" numFmtId="0" xfId="0" applyAlignment="1" applyBorder="1" applyFont="1">
      <alignment horizontal="center" readingOrder="0" vertical="bottom"/>
    </xf>
    <xf borderId="11" fillId="0" fontId="6" numFmtId="0" xfId="0" applyAlignment="1" applyBorder="1" applyFont="1">
      <alignment horizontal="center" readingOrder="0" vertical="bottom"/>
    </xf>
    <xf borderId="5" fillId="5" fontId="5" numFmtId="9" xfId="0" applyAlignment="1" applyBorder="1" applyFont="1" applyNumberFormat="1">
      <alignment horizontal="center" readingOrder="0" vertical="bottom"/>
    </xf>
    <xf borderId="7" fillId="0" fontId="6" numFmtId="3" xfId="0" applyAlignment="1" applyBorder="1" applyFont="1" applyNumberFormat="1">
      <alignment horizontal="center" readingOrder="0" vertical="bottom"/>
    </xf>
    <xf borderId="8" fillId="0" fontId="6" numFmtId="3" xfId="0" applyAlignment="1" applyBorder="1" applyFont="1" applyNumberFormat="1">
      <alignment horizontal="center" readingOrder="0" vertical="bottom"/>
    </xf>
    <xf borderId="9" fillId="0" fontId="2" numFmtId="3" xfId="0" applyAlignment="1" applyBorder="1" applyFont="1" applyNumberFormat="1">
      <alignment horizontal="center" readingOrder="0" vertical="bottom"/>
    </xf>
    <xf borderId="9" fillId="0" fontId="6" numFmtId="3" xfId="0" applyAlignment="1" applyBorder="1" applyFont="1" applyNumberForma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5" fillId="0" fontId="6" numFmtId="4" xfId="0" applyAlignment="1" applyBorder="1" applyFont="1" applyNumberFormat="1">
      <alignment horizontal="left" vertical="bottom"/>
    </xf>
    <xf borderId="0" fillId="0" fontId="7" numFmtId="4" xfId="0" applyFont="1" applyNumberFormat="1"/>
    <xf borderId="0" fillId="0" fontId="7" numFmtId="165" xfId="0" applyAlignment="1" applyFont="1" applyNumberFormat="1">
      <alignment readingOrder="0"/>
    </xf>
    <xf borderId="8" fillId="0" fontId="2" numFmtId="4" xfId="0" applyAlignment="1" applyBorder="1" applyFont="1" applyNumberFormat="1">
      <alignment horizontal="center" readingOrder="0" vertical="bottom"/>
    </xf>
    <xf borderId="9" fillId="0" fontId="7" numFmtId="0" xfId="0" applyAlignment="1" applyBorder="1" applyFont="1">
      <alignment horizontal="center" readingOrder="0"/>
    </xf>
    <xf borderId="11" fillId="0" fontId="2" numFmtId="0" xfId="0" applyAlignment="1" applyBorder="1" applyFont="1">
      <alignment horizontal="center" readingOrder="0" vertical="bottom"/>
    </xf>
    <xf borderId="11" fillId="0" fontId="6" numFmtId="3" xfId="0" applyAlignment="1" applyBorder="1" applyFont="1" applyNumberFormat="1">
      <alignment horizontal="center" readingOrder="0" vertical="bottom"/>
    </xf>
    <xf borderId="0" fillId="0" fontId="7" numFmtId="9" xfId="0" applyFont="1" applyNumberFormat="1"/>
    <xf borderId="0" fillId="0" fontId="7" numFmtId="9" xfId="0" applyAlignment="1" applyFont="1" applyNumberFormat="1">
      <alignment readingOrder="0"/>
    </xf>
    <xf borderId="0" fillId="0" fontId="6" numFmtId="4" xfId="0" applyAlignment="1" applyFont="1" applyNumberFormat="1">
      <alignment horizontal="left" readingOrder="0" vertical="bottom"/>
    </xf>
    <xf borderId="9" fillId="0" fontId="6" numFmtId="4" xfId="0" applyAlignment="1" applyBorder="1" applyFont="1" applyNumberFormat="1">
      <alignment horizontal="center" readingOrder="0" vertical="bottom"/>
    </xf>
    <xf borderId="5" fillId="4" fontId="5" numFmtId="4" xfId="0" applyAlignment="1" applyBorder="1" applyFont="1" applyNumberFormat="1">
      <alignment horizontal="center" vertical="bottom"/>
    </xf>
    <xf borderId="8" fillId="0" fontId="6" numFmtId="4" xfId="0" applyAlignment="1" applyBorder="1" applyFont="1" applyNumberFormat="1">
      <alignment horizontal="center" readingOrder="0" vertical="bottom"/>
    </xf>
    <xf borderId="9" fillId="0" fontId="10" numFmtId="4" xfId="0" applyAlignment="1" applyBorder="1" applyFont="1" applyNumberFormat="1">
      <alignment horizontal="center" readingOrder="0" vertical="bottom"/>
    </xf>
    <xf borderId="5" fillId="6" fontId="5" numFmtId="9" xfId="0" applyAlignment="1" applyBorder="1" applyFont="1" applyNumberFormat="1">
      <alignment horizontal="center" readingOrder="0" vertical="bottom"/>
    </xf>
    <xf borderId="5" fillId="5" fontId="6" numFmtId="9" xfId="0" applyAlignment="1" applyBorder="1" applyFont="1" applyNumberFormat="1">
      <alignment horizontal="center" vertical="bottom"/>
    </xf>
    <xf borderId="5" fillId="4" fontId="5" numFmtId="164" xfId="0" applyAlignment="1" applyBorder="1" applyFont="1" applyNumberFormat="1">
      <alignment horizontal="center" vertical="bottom"/>
    </xf>
    <xf borderId="5" fillId="0" fontId="6" numFmtId="10" xfId="0" applyAlignment="1" applyBorder="1" applyFont="1" applyNumberFormat="1">
      <alignment horizontal="left" readingOrder="0" vertical="bottom"/>
    </xf>
    <xf borderId="7" fillId="0" fontId="2" numFmtId="4" xfId="0" applyAlignment="1" applyBorder="1" applyFont="1" applyNumberFormat="1">
      <alignment horizontal="center" readingOrder="0" vertical="bottom"/>
    </xf>
    <xf borderId="9" fillId="0" fontId="11" numFmtId="4" xfId="0" applyAlignment="1" applyBorder="1" applyFont="1" applyNumberFormat="1">
      <alignment horizontal="center" readingOrder="0" shrinkToFit="0" wrapText="0"/>
    </xf>
    <xf borderId="2" fillId="3" fontId="4" numFmtId="0" xfId="0" applyAlignment="1" applyBorder="1" applyFont="1">
      <alignment horizontal="center" readingOrder="0" vertical="bottom"/>
    </xf>
    <xf borderId="5" fillId="0" fontId="6" numFmtId="49" xfId="0" applyAlignment="1" applyBorder="1" applyFont="1" applyNumberFormat="1">
      <alignment horizontal="center" readingOrder="0" vertical="bottom"/>
    </xf>
    <xf borderId="2" fillId="3" fontId="12" numFmtId="0" xfId="0" applyAlignment="1" applyBorder="1" applyFont="1">
      <alignment horizontal="left" vertical="bottom"/>
    </xf>
    <xf borderId="2" fillId="3" fontId="12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left" vertical="bottom"/>
    </xf>
    <xf borderId="5" fillId="5" fontId="13" numFmtId="9" xfId="0" applyAlignment="1" applyBorder="1" applyFont="1" applyNumberFormat="1">
      <alignment horizontal="center" vertical="bottom"/>
    </xf>
    <xf borderId="5" fillId="0" fontId="13" numFmtId="0" xfId="0" applyAlignment="1" applyBorder="1" applyFont="1">
      <alignment horizontal="left" readingOrder="0" vertical="bottom"/>
    </xf>
    <xf borderId="5" fillId="5" fontId="13" numFmtId="9" xfId="0" applyAlignment="1" applyBorder="1" applyFont="1" applyNumberFormat="1">
      <alignment horizontal="center" readingOrder="0" vertical="bottom"/>
    </xf>
    <xf borderId="0" fillId="0" fontId="14" numFmtId="0" xfId="0" applyFont="1"/>
    <xf borderId="5" fillId="5" fontId="15" numFmtId="9" xfId="0" applyAlignment="1" applyBorder="1" applyFont="1" applyNumberFormat="1">
      <alignment horizontal="center" vertical="bottom"/>
    </xf>
    <xf borderId="0" fillId="2" fontId="16" numFmtId="0" xfId="0" applyAlignment="1" applyFont="1">
      <alignment horizontal="center" vertical="bottom"/>
    </xf>
    <xf borderId="0" fillId="3" fontId="16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9" xfId="0" applyAlignment="1" applyFont="1" applyNumberFormat="1">
      <alignment horizontal="center" readingOrder="0" vertical="bottom"/>
    </xf>
    <xf borderId="0" fillId="0" fontId="2" numFmtId="10" xfId="0" applyAlignment="1" applyFont="1" applyNumberFormat="1">
      <alignment horizontal="center" readingOrder="0" vertical="bottom"/>
    </xf>
    <xf borderId="0" fillId="0" fontId="17" numFmtId="10" xfId="0" applyAlignment="1" applyFont="1" applyNumberFormat="1">
      <alignment horizontal="center" vertical="bottom"/>
    </xf>
    <xf borderId="0" fillId="0" fontId="2" numFmtId="10" xfId="0" applyAlignment="1" applyFont="1" applyNumberFormat="1">
      <alignment horizontal="center" vertical="bottom"/>
    </xf>
    <xf borderId="0" fillId="7" fontId="16" numFmtId="0" xfId="0" applyAlignment="1" applyFill="1" applyFont="1">
      <alignment horizontal="center" vertical="bottom"/>
    </xf>
    <xf borderId="0" fillId="2" fontId="16" numFmtId="0" xfId="0" applyAlignment="1" applyFont="1">
      <alignment horizontal="center" readingOrder="0" vertical="bottom"/>
    </xf>
    <xf borderId="0" fillId="0" fontId="2" numFmtId="3" xfId="0" applyAlignment="1" applyFont="1" applyNumberFormat="1">
      <alignment horizontal="center" readingOrder="0" vertical="bottom"/>
    </xf>
    <xf borderId="0" fillId="0" fontId="11" numFmtId="9" xfId="0" applyAlignment="1" applyFont="1" applyNumberFormat="1">
      <alignment horizontal="center" readingOrder="0" shrinkToFit="0" wrapText="0"/>
    </xf>
    <xf borderId="0" fillId="0" fontId="18" numFmtId="10" xfId="0" applyAlignment="1" applyFont="1" applyNumberFormat="1">
      <alignment horizontal="center" readingOrder="0" vertical="bottom"/>
    </xf>
    <xf borderId="0" fillId="8" fontId="2" numFmtId="10" xfId="0" applyAlignment="1" applyFill="1" applyFont="1" applyNumberFormat="1">
      <alignment horizontal="center" readingOrder="0" vertical="bottom"/>
    </xf>
    <xf borderId="0" fillId="0" fontId="19" numFmtId="9" xfId="0" applyAlignment="1" applyFont="1" applyNumberFormat="1">
      <alignment horizontal="center" readingOrder="0" shrinkToFit="0" wrapText="0"/>
    </xf>
    <xf borderId="0" fillId="0" fontId="20" numFmtId="9" xfId="0" applyAlignment="1" applyFont="1" applyNumberFormat="1">
      <alignment horizontal="center" readingOrder="0" shrinkToFit="0" wrapText="0"/>
    </xf>
    <xf borderId="0" fillId="2" fontId="2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0" fontId="2" numFmtId="9" xfId="0" applyAlignment="1" applyFont="1" applyNumberFormat="1">
      <alignment readingOrder="0" vertical="bottom"/>
    </xf>
    <xf borderId="0" fillId="0" fontId="2" numFmtId="10" xfId="0" applyAlignment="1" applyFont="1" applyNumberFormat="1">
      <alignment vertical="bottom"/>
    </xf>
    <xf borderId="0" fillId="0" fontId="2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readingOrder="0" vertical="bottom"/>
    </xf>
    <xf borderId="0" fillId="3" fontId="16" numFmtId="0" xfId="0" applyAlignment="1" applyFont="1">
      <alignment horizontal="center" readingOrder="0" vertical="bottom"/>
    </xf>
    <xf borderId="0" fillId="0" fontId="11" numFmtId="0" xfId="0" applyAlignment="1" applyFont="1">
      <alignment readingOrder="0" shrinkToFit="0" vertical="bottom" wrapText="0"/>
    </xf>
    <xf borderId="5" fillId="9" fontId="6" numFmtId="4" xfId="0" applyAlignment="1" applyBorder="1" applyFill="1" applyFont="1" applyNumberFormat="1">
      <alignment horizontal="center" readingOrder="0" vertical="bottom"/>
    </xf>
    <xf borderId="5" fillId="9" fontId="6" numFmtId="3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3"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FFBF00"/>
          <bgColor rgb="FFFFBF00"/>
        </patternFill>
      </fill>
      <border/>
    </dxf>
    <dxf>
      <font/>
      <fill>
        <patternFill patternType="solid">
          <fgColor rgb="FF008000"/>
          <bgColor rgb="FF008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RR Achievement vs. Campaign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Sheet6!$B$1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Sheet6!$A$2:$A$22</c:f>
            </c:strRef>
          </c:cat>
          <c:val>
            <c:numRef>
              <c:f>Sheet6!$B$2:$B$22</c:f>
              <c:numCache/>
            </c:numRef>
          </c:val>
        </c:ser>
        <c:ser>
          <c:idx val="1"/>
          <c:order val="1"/>
          <c:tx>
            <c:strRef>
              <c:f>Sheet6!$B$1</c:f>
            </c:strRef>
          </c:tx>
          <c:cat>
            <c:strRef>
              <c:f>Sheet6!$A$2:$A$22</c:f>
            </c:strRef>
          </c:cat>
          <c:val>
            <c:numRef>
              <c:f>Sheet6!$B$2:$B$22</c:f>
              <c:numCache/>
            </c:numRef>
          </c:val>
        </c:ser>
        <c:axId val="819097041"/>
        <c:axId val="1590889498"/>
      </c:barChart>
      <c:catAx>
        <c:axId val="8190970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Campaign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0889498"/>
      </c:catAx>
      <c:valAx>
        <c:axId val="159088949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RR Achievement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909704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</xdr:row>
      <xdr:rowOff>28575</xdr:rowOff>
    </xdr:from>
    <xdr:ext cx="5153025" cy="5353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5.13"/>
    <col customWidth="1" min="3" max="3" width="22.88"/>
    <col customWidth="1" min="4" max="4" width="12.75"/>
    <col customWidth="1" min="5" max="5" width="15.13"/>
    <col customWidth="1" min="16" max="16" width="17.0"/>
  </cols>
  <sheetData>
    <row r="1" ht="14.25" customHeight="1">
      <c r="A1" s="1" t="s">
        <v>0</v>
      </c>
      <c r="B1" s="2" t="s">
        <v>1</v>
      </c>
    </row>
    <row r="2" ht="11.25" customHeight="1">
      <c r="A2" s="3"/>
    </row>
    <row r="3">
      <c r="A3" s="3"/>
    </row>
    <row r="4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>
      <c r="A5" s="5" t="s">
        <v>2</v>
      </c>
      <c r="B5" s="5" t="s">
        <v>3</v>
      </c>
      <c r="C5" s="5" t="s">
        <v>4</v>
      </c>
      <c r="D5" s="6" t="s">
        <v>5</v>
      </c>
      <c r="E5" s="7" t="s">
        <v>6</v>
      </c>
      <c r="F5" s="4"/>
      <c r="G5" s="4"/>
      <c r="H5" s="4"/>
      <c r="I5" s="8"/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12</v>
      </c>
    </row>
    <row r="6">
      <c r="A6" s="8"/>
      <c r="B6" s="8"/>
      <c r="C6" s="8"/>
      <c r="D6" s="8"/>
      <c r="E6" s="9" t="s">
        <v>13</v>
      </c>
      <c r="F6" s="9" t="s">
        <v>14</v>
      </c>
      <c r="G6" s="9" t="s">
        <v>15</v>
      </c>
      <c r="H6" s="9" t="s">
        <v>16</v>
      </c>
      <c r="I6" s="9" t="s">
        <v>17</v>
      </c>
      <c r="J6" s="8"/>
      <c r="K6" s="8"/>
      <c r="L6" s="8"/>
      <c r="M6" s="8"/>
      <c r="N6" s="8"/>
      <c r="O6" s="8"/>
    </row>
    <row r="7">
      <c r="A7" s="10">
        <v>95.0</v>
      </c>
      <c r="B7" s="11" t="s">
        <v>18</v>
      </c>
      <c r="C7" s="11" t="s">
        <v>19</v>
      </c>
      <c r="D7" s="12">
        <v>8.973E8</v>
      </c>
      <c r="E7" s="12">
        <v>6.241238522E7</v>
      </c>
      <c r="F7" s="12">
        <v>1.6492737164E8</v>
      </c>
      <c r="G7" s="12">
        <v>1.96582934E8</v>
      </c>
      <c r="H7" s="13">
        <v>2.1343020409E8</v>
      </c>
      <c r="I7" s="13">
        <v>1.7670387833E8</v>
      </c>
      <c r="J7" s="14">
        <f t="shared" ref="J7:J9" si="1">SUM(E7:I7)</f>
        <v>814056773.3</v>
      </c>
      <c r="K7" s="15">
        <f t="shared" ref="K7:K10" si="2">J7/D7</f>
        <v>0.9072292135</v>
      </c>
      <c r="L7" s="16">
        <f t="shared" ref="L7:L10" si="3">J7/O7*N7</f>
        <v>814056773.3</v>
      </c>
      <c r="M7" s="17">
        <f t="shared" ref="M7:M9" si="4">L7/D7</f>
        <v>0.9072292135</v>
      </c>
      <c r="N7" s="18">
        <v>23.0</v>
      </c>
      <c r="O7" s="19">
        <v>23.0</v>
      </c>
      <c r="P7" s="20" t="s">
        <v>20</v>
      </c>
    </row>
    <row r="8">
      <c r="A8" s="10">
        <v>6.0</v>
      </c>
      <c r="B8" s="11" t="s">
        <v>21</v>
      </c>
      <c r="C8" s="11" t="s">
        <v>19</v>
      </c>
      <c r="D8" s="12">
        <v>6.67E7</v>
      </c>
      <c r="E8" s="12">
        <v>7417448.61</v>
      </c>
      <c r="F8" s="12">
        <v>1.800255691E7</v>
      </c>
      <c r="G8" s="12">
        <v>1.169865521E7</v>
      </c>
      <c r="H8" s="13">
        <v>1.267327288E7</v>
      </c>
      <c r="I8" s="12">
        <v>7660502.19</v>
      </c>
      <c r="J8" s="14">
        <f t="shared" si="1"/>
        <v>57452435.8</v>
      </c>
      <c r="K8" s="15">
        <f t="shared" si="2"/>
        <v>0.8613558591</v>
      </c>
      <c r="L8" s="16">
        <f t="shared" si="3"/>
        <v>57452435.8</v>
      </c>
      <c r="M8" s="17">
        <f t="shared" si="4"/>
        <v>0.8613558591</v>
      </c>
      <c r="N8" s="18">
        <v>23.0</v>
      </c>
      <c r="O8" s="19">
        <v>23.0</v>
      </c>
      <c r="P8" s="20" t="s">
        <v>20</v>
      </c>
    </row>
    <row r="9">
      <c r="A9" s="10">
        <v>64.0</v>
      </c>
      <c r="B9" s="10" t="s">
        <v>22</v>
      </c>
      <c r="C9" s="11" t="s">
        <v>19</v>
      </c>
      <c r="D9" s="12">
        <v>6.0E8</v>
      </c>
      <c r="E9" s="12">
        <v>2.3676E7</v>
      </c>
      <c r="F9" s="12">
        <v>5.8631499E7</v>
      </c>
      <c r="G9" s="12">
        <v>1.005147E8</v>
      </c>
      <c r="H9" s="12">
        <v>1.060463E8</v>
      </c>
      <c r="I9" s="12">
        <v>6.347576E7</v>
      </c>
      <c r="J9" s="14">
        <f t="shared" si="1"/>
        <v>352344259</v>
      </c>
      <c r="K9" s="15">
        <f t="shared" si="2"/>
        <v>0.5872404317</v>
      </c>
      <c r="L9" s="16">
        <f t="shared" si="3"/>
        <v>352344259</v>
      </c>
      <c r="M9" s="17">
        <f t="shared" si="4"/>
        <v>0.5872404317</v>
      </c>
      <c r="N9" s="18">
        <v>24.0</v>
      </c>
      <c r="O9" s="19">
        <v>24.0</v>
      </c>
      <c r="P9" s="20" t="s">
        <v>23</v>
      </c>
    </row>
    <row r="10">
      <c r="A10" s="10">
        <v>2.0</v>
      </c>
      <c r="B10" s="10" t="s">
        <v>24</v>
      </c>
      <c r="C10" s="11" t="s">
        <v>19</v>
      </c>
      <c r="D10" s="21">
        <v>1.0</v>
      </c>
      <c r="E10" s="12">
        <v>0.0</v>
      </c>
      <c r="F10" s="21">
        <v>1.0</v>
      </c>
      <c r="G10" s="21">
        <v>1.0</v>
      </c>
      <c r="H10" s="21">
        <v>1.0</v>
      </c>
      <c r="I10" s="21">
        <v>1.0</v>
      </c>
      <c r="J10" s="21">
        <v>0.92</v>
      </c>
      <c r="K10" s="15">
        <f t="shared" si="2"/>
        <v>0.92</v>
      </c>
      <c r="L10" s="22">
        <f t="shared" si="3"/>
        <v>0.92</v>
      </c>
      <c r="M10" s="17">
        <f>K10</f>
        <v>0.92</v>
      </c>
      <c r="N10" s="18">
        <v>21.0</v>
      </c>
      <c r="O10" s="19">
        <v>21.0</v>
      </c>
      <c r="P10" s="20" t="s">
        <v>23</v>
      </c>
    </row>
    <row r="11">
      <c r="A11" s="10">
        <v>10.0</v>
      </c>
      <c r="B11" s="10" t="s">
        <v>25</v>
      </c>
      <c r="C11" s="11" t="s">
        <v>26</v>
      </c>
      <c r="D11" s="21">
        <v>0.8</v>
      </c>
      <c r="E11" s="23">
        <v>1.03</v>
      </c>
      <c r="F11" s="23">
        <v>1.04</v>
      </c>
      <c r="G11" s="21">
        <v>1.0274</v>
      </c>
      <c r="H11" s="24">
        <v>1.0435</v>
      </c>
      <c r="I11" s="24">
        <v>1.077</v>
      </c>
      <c r="J11" s="25">
        <f>average(E11:I11)</f>
        <v>1.04358</v>
      </c>
      <c r="K11" s="26">
        <f>J11</f>
        <v>1.04358</v>
      </c>
      <c r="L11" s="27">
        <f>J11</f>
        <v>1.04358</v>
      </c>
      <c r="M11" s="28">
        <f>J11</f>
        <v>1.04358</v>
      </c>
      <c r="N11" s="18">
        <v>23.0</v>
      </c>
      <c r="O11" s="19">
        <v>23.0</v>
      </c>
      <c r="P11" s="20" t="s">
        <v>23</v>
      </c>
    </row>
    <row r="12">
      <c r="A12" s="10">
        <v>26.0</v>
      </c>
      <c r="B12" s="10" t="s">
        <v>27</v>
      </c>
      <c r="C12" s="11" t="s">
        <v>19</v>
      </c>
      <c r="D12" s="19">
        <v>1714.0</v>
      </c>
      <c r="E12" s="18">
        <v>164.0</v>
      </c>
      <c r="F12" s="18">
        <v>30.0</v>
      </c>
      <c r="G12" s="18">
        <v>49.0</v>
      </c>
      <c r="H12" s="18">
        <v>319.0</v>
      </c>
      <c r="I12" s="29">
        <v>292.0</v>
      </c>
      <c r="J12" s="30">
        <f t="shared" ref="J12:J23" si="5">sum(E12:I12)</f>
        <v>854</v>
      </c>
      <c r="K12" s="15">
        <f t="shared" ref="K12:K24" si="6">J12/D12</f>
        <v>0.4982497083</v>
      </c>
      <c r="L12" s="16">
        <f t="shared" ref="L12:L24" si="7">J12/O12*N12</f>
        <v>854</v>
      </c>
      <c r="M12" s="17">
        <f t="shared" ref="M12:M24" si="8">L12/D12</f>
        <v>0.4982497083</v>
      </c>
      <c r="N12" s="18">
        <v>21.0</v>
      </c>
      <c r="O12" s="18">
        <v>21.0</v>
      </c>
      <c r="P12" s="20" t="s">
        <v>28</v>
      </c>
    </row>
    <row r="13">
      <c r="A13" s="10">
        <v>15.0</v>
      </c>
      <c r="B13" s="10" t="s">
        <v>29</v>
      </c>
      <c r="C13" s="11" t="s">
        <v>19</v>
      </c>
      <c r="D13" s="19">
        <v>6.2429E7</v>
      </c>
      <c r="E13" s="19">
        <v>1.6396E7</v>
      </c>
      <c r="F13" s="12">
        <v>4571000.0</v>
      </c>
      <c r="G13" s="12">
        <v>3245000.0</v>
      </c>
      <c r="H13" s="19">
        <v>2.7049E7</v>
      </c>
      <c r="I13" s="19">
        <v>2.3669E7</v>
      </c>
      <c r="J13" s="30">
        <f t="shared" si="5"/>
        <v>74930000</v>
      </c>
      <c r="K13" s="15">
        <f t="shared" si="6"/>
        <v>1.200243477</v>
      </c>
      <c r="L13" s="16">
        <f t="shared" si="7"/>
        <v>74930000</v>
      </c>
      <c r="M13" s="17">
        <f t="shared" si="8"/>
        <v>1.200243477</v>
      </c>
      <c r="N13" s="18">
        <v>21.0</v>
      </c>
      <c r="O13" s="18">
        <v>21.0</v>
      </c>
      <c r="P13" s="20" t="s">
        <v>30</v>
      </c>
    </row>
    <row r="14">
      <c r="A14" s="10">
        <v>35.0</v>
      </c>
      <c r="B14" s="10" t="s">
        <v>31</v>
      </c>
      <c r="C14" s="11" t="s">
        <v>19</v>
      </c>
      <c r="D14" s="12">
        <v>2.5475579879E8</v>
      </c>
      <c r="E14" s="19">
        <v>1.592838246E7</v>
      </c>
      <c r="F14" s="19">
        <v>7.450598496E7</v>
      </c>
      <c r="G14" s="19">
        <v>4.1819804E7</v>
      </c>
      <c r="H14" s="31">
        <v>3.14584E7</v>
      </c>
      <c r="I14" s="32">
        <v>3.6573401E7</v>
      </c>
      <c r="J14" s="30">
        <f t="shared" si="5"/>
        <v>200285972.4</v>
      </c>
      <c r="K14" s="15">
        <f t="shared" si="6"/>
        <v>0.7861880804</v>
      </c>
      <c r="L14" s="16">
        <f t="shared" si="7"/>
        <v>200285972.4</v>
      </c>
      <c r="M14" s="17">
        <f t="shared" si="8"/>
        <v>0.7861880804</v>
      </c>
      <c r="N14" s="18">
        <v>21.0</v>
      </c>
      <c r="O14" s="18">
        <v>21.0</v>
      </c>
      <c r="P14" s="20" t="s">
        <v>23</v>
      </c>
    </row>
    <row r="15">
      <c r="A15" s="10">
        <v>102.0</v>
      </c>
      <c r="B15" s="11" t="s">
        <v>32</v>
      </c>
      <c r="C15" s="11" t="s">
        <v>19</v>
      </c>
      <c r="D15" s="19">
        <v>7422.0</v>
      </c>
      <c r="E15" s="18">
        <v>2895.0</v>
      </c>
      <c r="F15" s="18">
        <f>484+498+431+366+364+328</f>
        <v>2471</v>
      </c>
      <c r="G15" s="18">
        <f>515+394+334+333+567</f>
        <v>2143</v>
      </c>
      <c r="H15" s="18">
        <f>773+374+255</f>
        <v>1402</v>
      </c>
      <c r="I15" s="33"/>
      <c r="J15" s="30">
        <f t="shared" si="5"/>
        <v>8911</v>
      </c>
      <c r="K15" s="15">
        <f t="shared" si="6"/>
        <v>1.200619779</v>
      </c>
      <c r="L15" s="16">
        <f t="shared" si="7"/>
        <v>8911</v>
      </c>
      <c r="M15" s="17">
        <f t="shared" si="8"/>
        <v>1.200619779</v>
      </c>
      <c r="N15" s="18">
        <v>21.0</v>
      </c>
      <c r="O15" s="18">
        <v>21.0</v>
      </c>
      <c r="P15" s="20" t="s">
        <v>33</v>
      </c>
      <c r="Q15" s="20" t="s">
        <v>34</v>
      </c>
    </row>
    <row r="16">
      <c r="A16" s="10">
        <v>28.0</v>
      </c>
      <c r="B16" s="11" t="s">
        <v>35</v>
      </c>
      <c r="C16" s="11" t="s">
        <v>19</v>
      </c>
      <c r="D16" s="19">
        <v>2.772E8</v>
      </c>
      <c r="E16" s="19">
        <v>3.6571E7</v>
      </c>
      <c r="F16" s="19">
        <v>1.42986E8</v>
      </c>
      <c r="G16" s="19">
        <f>22251000+18034000+25436000+21640000+25169000+20017000</f>
        <v>132547000</v>
      </c>
      <c r="H16" s="18">
        <v>1.208644E8</v>
      </c>
      <c r="I16" s="19">
        <f>70209950+80963000+60180000+55487000</f>
        <v>266839950</v>
      </c>
      <c r="J16" s="30">
        <f t="shared" si="5"/>
        <v>699808350</v>
      </c>
      <c r="K16" s="15">
        <f t="shared" si="6"/>
        <v>2.524561147</v>
      </c>
      <c r="L16" s="16">
        <f t="shared" si="7"/>
        <v>699808350</v>
      </c>
      <c r="M16" s="17">
        <f t="shared" si="8"/>
        <v>2.524561147</v>
      </c>
      <c r="N16" s="18">
        <v>23.0</v>
      </c>
      <c r="O16" s="18">
        <v>23.0</v>
      </c>
      <c r="P16" s="20" t="s">
        <v>36</v>
      </c>
    </row>
    <row r="17">
      <c r="A17" s="10">
        <v>11.0</v>
      </c>
      <c r="B17" s="11" t="s">
        <v>37</v>
      </c>
      <c r="C17" s="11" t="s">
        <v>19</v>
      </c>
      <c r="D17" s="12">
        <v>1600.0</v>
      </c>
      <c r="E17" s="19">
        <f>25+35</f>
        <v>60</v>
      </c>
      <c r="F17" s="34">
        <v>231.0</v>
      </c>
      <c r="G17" s="34">
        <f>28+41+34+34+35+43</f>
        <v>215</v>
      </c>
      <c r="H17" s="34">
        <v>190.0</v>
      </c>
      <c r="I17" s="34">
        <f>44+42+35+31</f>
        <v>152</v>
      </c>
      <c r="J17" s="30">
        <f t="shared" si="5"/>
        <v>848</v>
      </c>
      <c r="K17" s="15">
        <f t="shared" si="6"/>
        <v>0.53</v>
      </c>
      <c r="L17" s="16">
        <f t="shared" si="7"/>
        <v>848</v>
      </c>
      <c r="M17" s="17">
        <f t="shared" si="8"/>
        <v>0.53</v>
      </c>
      <c r="N17" s="18">
        <v>23.0</v>
      </c>
      <c r="O17" s="18">
        <v>23.0</v>
      </c>
      <c r="P17" s="20" t="s">
        <v>36</v>
      </c>
    </row>
    <row r="18">
      <c r="A18" s="10">
        <v>1.0</v>
      </c>
      <c r="B18" s="11" t="s">
        <v>38</v>
      </c>
      <c r="C18" s="11" t="s">
        <v>19</v>
      </c>
      <c r="D18" s="12">
        <v>550.0</v>
      </c>
      <c r="E18" s="30">
        <f>20+24</f>
        <v>44</v>
      </c>
      <c r="F18" s="29">
        <v>112.0</v>
      </c>
      <c r="G18" s="29">
        <f>25+24+26+25</f>
        <v>100</v>
      </c>
      <c r="H18" s="29">
        <v>123.0</v>
      </c>
      <c r="I18" s="29">
        <f>19+22+15+23</f>
        <v>79</v>
      </c>
      <c r="J18" s="30">
        <f t="shared" si="5"/>
        <v>458</v>
      </c>
      <c r="K18" s="15">
        <f t="shared" si="6"/>
        <v>0.8327272727</v>
      </c>
      <c r="L18" s="16">
        <f t="shared" si="7"/>
        <v>458</v>
      </c>
      <c r="M18" s="17">
        <f t="shared" si="8"/>
        <v>0.8327272727</v>
      </c>
      <c r="N18" s="18">
        <v>23.0</v>
      </c>
      <c r="O18" s="18">
        <v>23.0</v>
      </c>
      <c r="P18" s="20" t="s">
        <v>36</v>
      </c>
    </row>
    <row r="19">
      <c r="A19" s="10">
        <v>2.0</v>
      </c>
      <c r="B19" s="10" t="s">
        <v>39</v>
      </c>
      <c r="C19" s="11" t="s">
        <v>19</v>
      </c>
      <c r="D19" s="12">
        <v>600.0</v>
      </c>
      <c r="E19" s="19">
        <f>19+23</f>
        <v>42</v>
      </c>
      <c r="F19" s="29">
        <v>165.0</v>
      </c>
      <c r="G19" s="29">
        <v>131.0</v>
      </c>
      <c r="H19" s="29">
        <v>99.0</v>
      </c>
      <c r="I19" s="29">
        <v>95.0</v>
      </c>
      <c r="J19" s="30">
        <f t="shared" si="5"/>
        <v>532</v>
      </c>
      <c r="K19" s="15">
        <f t="shared" si="6"/>
        <v>0.8866666667</v>
      </c>
      <c r="L19" s="16">
        <f t="shared" si="7"/>
        <v>532</v>
      </c>
      <c r="M19" s="17">
        <f t="shared" si="8"/>
        <v>0.8866666667</v>
      </c>
      <c r="N19" s="18">
        <v>23.0</v>
      </c>
      <c r="O19" s="18">
        <v>23.0</v>
      </c>
      <c r="P19" s="20" t="s">
        <v>36</v>
      </c>
    </row>
    <row r="20">
      <c r="A20" s="10">
        <v>15.0</v>
      </c>
      <c r="B20" s="10" t="s">
        <v>40</v>
      </c>
      <c r="C20" s="11" t="s">
        <v>19</v>
      </c>
      <c r="D20" s="12">
        <v>900.0</v>
      </c>
      <c r="E20" s="19">
        <v>13.0</v>
      </c>
      <c r="F20" s="29">
        <v>67.0</v>
      </c>
      <c r="G20" s="29">
        <v>28.0</v>
      </c>
      <c r="H20" s="29">
        <v>46.0</v>
      </c>
      <c r="I20" s="29">
        <v>28.0</v>
      </c>
      <c r="J20" s="30">
        <f t="shared" si="5"/>
        <v>182</v>
      </c>
      <c r="K20" s="15">
        <f t="shared" si="6"/>
        <v>0.2022222222</v>
      </c>
      <c r="L20" s="16">
        <f t="shared" si="7"/>
        <v>182</v>
      </c>
      <c r="M20" s="17">
        <f t="shared" si="8"/>
        <v>0.2022222222</v>
      </c>
      <c r="N20" s="18">
        <v>21.0</v>
      </c>
      <c r="O20" s="18">
        <v>21.0</v>
      </c>
      <c r="P20" s="20" t="s">
        <v>23</v>
      </c>
    </row>
    <row r="21">
      <c r="A21" s="10">
        <v>5.0</v>
      </c>
      <c r="B21" s="10" t="s">
        <v>41</v>
      </c>
      <c r="C21" s="11" t="s">
        <v>19</v>
      </c>
      <c r="D21" s="12">
        <v>150.0</v>
      </c>
      <c r="E21" s="19">
        <v>1.0</v>
      </c>
      <c r="F21" s="29">
        <v>8.0</v>
      </c>
      <c r="G21" s="29">
        <v>7.0</v>
      </c>
      <c r="H21" s="32">
        <v>15.0</v>
      </c>
      <c r="I21" s="29">
        <v>5.0</v>
      </c>
      <c r="J21" s="30">
        <f t="shared" si="5"/>
        <v>36</v>
      </c>
      <c r="K21" s="15">
        <f t="shared" si="6"/>
        <v>0.24</v>
      </c>
      <c r="L21" s="16">
        <f t="shared" si="7"/>
        <v>36</v>
      </c>
      <c r="M21" s="17">
        <f t="shared" si="8"/>
        <v>0.24</v>
      </c>
      <c r="N21" s="18">
        <v>21.0</v>
      </c>
      <c r="O21" s="18">
        <v>21.0</v>
      </c>
      <c r="P21" s="20" t="s">
        <v>23</v>
      </c>
    </row>
    <row r="22">
      <c r="A22" s="10">
        <v>21.0</v>
      </c>
      <c r="B22" s="11" t="s">
        <v>42</v>
      </c>
      <c r="C22" s="11" t="s">
        <v>19</v>
      </c>
      <c r="D22" s="12">
        <v>2520.0</v>
      </c>
      <c r="E22" s="19">
        <v>87.0</v>
      </c>
      <c r="F22" s="29">
        <v>510.0</v>
      </c>
      <c r="G22" s="29">
        <v>382.0</v>
      </c>
      <c r="H22" s="32">
        <v>489.0</v>
      </c>
      <c r="I22" s="29">
        <v>360.0</v>
      </c>
      <c r="J22" s="30">
        <f t="shared" si="5"/>
        <v>1828</v>
      </c>
      <c r="K22" s="15">
        <f t="shared" si="6"/>
        <v>0.7253968254</v>
      </c>
      <c r="L22" s="16">
        <f t="shared" si="7"/>
        <v>1828</v>
      </c>
      <c r="M22" s="17">
        <f t="shared" si="8"/>
        <v>0.7253968254</v>
      </c>
      <c r="N22" s="18">
        <v>22.0</v>
      </c>
      <c r="O22" s="18">
        <v>22.0</v>
      </c>
      <c r="P22" s="20" t="s">
        <v>23</v>
      </c>
    </row>
    <row r="23">
      <c r="A23" s="10">
        <v>1.0</v>
      </c>
      <c r="B23" s="10" t="s">
        <v>43</v>
      </c>
      <c r="C23" s="11" t="s">
        <v>19</v>
      </c>
      <c r="D23" s="12">
        <v>44.0</v>
      </c>
      <c r="E23" s="12">
        <v>3.0</v>
      </c>
      <c r="F23" s="12">
        <v>17.0</v>
      </c>
      <c r="G23" s="12">
        <v>14.0</v>
      </c>
      <c r="H23" s="12">
        <v>14.0</v>
      </c>
      <c r="I23" s="12">
        <v>8.0</v>
      </c>
      <c r="J23" s="30">
        <f t="shared" si="5"/>
        <v>56</v>
      </c>
      <c r="K23" s="15">
        <f t="shared" si="6"/>
        <v>1.272727273</v>
      </c>
      <c r="L23" s="16">
        <f t="shared" si="7"/>
        <v>56</v>
      </c>
      <c r="M23" s="17">
        <f t="shared" si="8"/>
        <v>1.272727273</v>
      </c>
      <c r="N23" s="18">
        <v>21.0</v>
      </c>
      <c r="O23" s="18">
        <v>21.0</v>
      </c>
      <c r="P23" s="20" t="s">
        <v>23</v>
      </c>
    </row>
    <row r="24">
      <c r="A24" s="10">
        <v>45.0</v>
      </c>
      <c r="B24" s="10" t="s">
        <v>44</v>
      </c>
      <c r="C24" s="11" t="s">
        <v>19</v>
      </c>
      <c r="D24" s="21">
        <v>0.85</v>
      </c>
      <c r="E24" s="21">
        <v>0.938</v>
      </c>
      <c r="F24" s="24">
        <v>0.98</v>
      </c>
      <c r="G24" s="24">
        <v>0.99</v>
      </c>
      <c r="H24" s="24">
        <v>0.96</v>
      </c>
      <c r="I24" s="24">
        <v>0.97</v>
      </c>
      <c r="J24" s="21">
        <v>0.97</v>
      </c>
      <c r="K24" s="15">
        <f t="shared" si="6"/>
        <v>1.141176471</v>
      </c>
      <c r="L24" s="22">
        <f t="shared" si="7"/>
        <v>0.97</v>
      </c>
      <c r="M24" s="17">
        <f t="shared" si="8"/>
        <v>1.141176471</v>
      </c>
      <c r="N24" s="18">
        <v>31.0</v>
      </c>
      <c r="O24" s="18">
        <v>31.0</v>
      </c>
      <c r="P24" s="20" t="s">
        <v>23</v>
      </c>
    </row>
    <row r="25">
      <c r="A25" s="35"/>
      <c r="B25" s="35"/>
      <c r="C25" s="35"/>
      <c r="D25" s="36"/>
      <c r="E25" s="37"/>
      <c r="F25" s="38"/>
      <c r="G25" s="38"/>
      <c r="H25" s="36"/>
      <c r="I25" s="38"/>
      <c r="J25" s="37"/>
      <c r="K25" s="39"/>
      <c r="L25" s="40"/>
      <c r="M25" s="41"/>
      <c r="N25" s="38"/>
      <c r="O25" s="38"/>
    </row>
    <row r="26" ht="15.0" customHeight="1">
      <c r="A26" s="1" t="s">
        <v>0</v>
      </c>
      <c r="B26" s="42" t="s">
        <v>45</v>
      </c>
    </row>
    <row r="27" ht="10.5" customHeight="1">
      <c r="A27" s="3"/>
    </row>
    <row r="28">
      <c r="A28" s="3"/>
    </row>
    <row r="29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>
      <c r="A30" s="5" t="s">
        <v>2</v>
      </c>
      <c r="B30" s="5" t="s">
        <v>3</v>
      </c>
      <c r="C30" s="5" t="s">
        <v>4</v>
      </c>
      <c r="D30" s="6" t="s">
        <v>5</v>
      </c>
      <c r="E30" s="7" t="s">
        <v>6</v>
      </c>
      <c r="F30" s="4"/>
      <c r="G30" s="4"/>
      <c r="H30" s="4"/>
      <c r="I30" s="8"/>
      <c r="J30" s="6" t="s">
        <v>7</v>
      </c>
      <c r="K30" s="6" t="s">
        <v>8</v>
      </c>
      <c r="L30" s="6" t="s">
        <v>9</v>
      </c>
      <c r="M30" s="6" t="s">
        <v>10</v>
      </c>
      <c r="N30" s="6" t="s">
        <v>11</v>
      </c>
      <c r="O30" s="6" t="s">
        <v>12</v>
      </c>
    </row>
    <row r="31">
      <c r="A31" s="8"/>
      <c r="B31" s="8"/>
      <c r="C31" s="8"/>
      <c r="D31" s="8"/>
      <c r="E31" s="9" t="s">
        <v>13</v>
      </c>
      <c r="F31" s="9" t="s">
        <v>14</v>
      </c>
      <c r="G31" s="9" t="s">
        <v>15</v>
      </c>
      <c r="H31" s="9" t="s">
        <v>16</v>
      </c>
      <c r="I31" s="9" t="s">
        <v>17</v>
      </c>
      <c r="J31" s="8"/>
      <c r="K31" s="8"/>
      <c r="L31" s="8"/>
      <c r="M31" s="8"/>
      <c r="N31" s="8"/>
      <c r="O31" s="8"/>
    </row>
    <row r="32">
      <c r="A32" s="10">
        <v>95.0</v>
      </c>
      <c r="B32" s="11" t="s">
        <v>18</v>
      </c>
      <c r="C32" s="11" t="s">
        <v>19</v>
      </c>
      <c r="D32" s="19">
        <v>8.075E8</v>
      </c>
      <c r="E32" s="12">
        <v>4.420135798E7</v>
      </c>
      <c r="F32" s="12">
        <v>1.2425175871E8</v>
      </c>
      <c r="G32" s="12">
        <v>1.8605287786E8</v>
      </c>
      <c r="H32" s="13">
        <v>1.6547592026E8</v>
      </c>
      <c r="I32" s="13">
        <v>2.0251609582999998E8</v>
      </c>
      <c r="J32" s="14">
        <f t="shared" ref="J32:J35" si="9">SUM(E32:I32)</f>
        <v>722498010.6</v>
      </c>
      <c r="K32" s="15">
        <f t="shared" ref="K32:K35" si="10">J32/D32</f>
        <v>0.8947343785</v>
      </c>
      <c r="L32" s="16">
        <f t="shared" ref="L32:L35" si="11">J32/O32*N32</f>
        <v>758622911.2</v>
      </c>
      <c r="M32" s="43">
        <f t="shared" ref="M32:M35" si="12">L32/D32</f>
        <v>0.9394710974</v>
      </c>
      <c r="N32" s="18">
        <v>21.0</v>
      </c>
      <c r="O32" s="19">
        <v>20.0</v>
      </c>
      <c r="P32" s="20" t="s">
        <v>46</v>
      </c>
    </row>
    <row r="33">
      <c r="A33" s="10">
        <v>6.0</v>
      </c>
      <c r="B33" s="11" t="s">
        <v>21</v>
      </c>
      <c r="C33" s="11" t="s">
        <v>19</v>
      </c>
      <c r="D33" s="19">
        <v>6.0E7</v>
      </c>
      <c r="E33" s="12">
        <v>9525182.06</v>
      </c>
      <c r="F33" s="14">
        <v>6119821.529999999</v>
      </c>
      <c r="G33" s="12">
        <v>1.384632841E7</v>
      </c>
      <c r="H33" s="13">
        <v>1.4949587E7</v>
      </c>
      <c r="I33" s="12">
        <v>1.010988442E7</v>
      </c>
      <c r="J33" s="14">
        <f t="shared" si="9"/>
        <v>54550803.42</v>
      </c>
      <c r="K33" s="15">
        <f t="shared" si="10"/>
        <v>0.909180057</v>
      </c>
      <c r="L33" s="16">
        <f t="shared" si="11"/>
        <v>57278343.59</v>
      </c>
      <c r="M33" s="43">
        <f t="shared" si="12"/>
        <v>0.9546390599</v>
      </c>
      <c r="N33" s="18">
        <v>21.0</v>
      </c>
      <c r="O33" s="19">
        <v>20.0</v>
      </c>
      <c r="P33" s="20" t="s">
        <v>46</v>
      </c>
    </row>
    <row r="34">
      <c r="A34" s="10">
        <v>64.0</v>
      </c>
      <c r="B34" s="10" t="s">
        <v>22</v>
      </c>
      <c r="C34" s="11" t="s">
        <v>19</v>
      </c>
      <c r="D34" s="19">
        <v>3.385131786E8</v>
      </c>
      <c r="E34" s="12">
        <v>5.6891347E7</v>
      </c>
      <c r="F34" s="12">
        <v>9.5911151E7</v>
      </c>
      <c r="G34" s="12">
        <v>9.1078661E7</v>
      </c>
      <c r="H34" s="12">
        <v>9.0813332E7</v>
      </c>
      <c r="I34" s="12">
        <v>7.4831325E7</v>
      </c>
      <c r="J34" s="14">
        <f t="shared" si="9"/>
        <v>409525816</v>
      </c>
      <c r="K34" s="15">
        <f t="shared" si="10"/>
        <v>1.209778059</v>
      </c>
      <c r="L34" s="16">
        <f t="shared" si="11"/>
        <v>409525816</v>
      </c>
      <c r="M34" s="43">
        <f t="shared" si="12"/>
        <v>1.209778059</v>
      </c>
      <c r="N34" s="18">
        <v>21.0</v>
      </c>
      <c r="O34" s="19">
        <v>21.0</v>
      </c>
      <c r="P34" s="20" t="s">
        <v>36</v>
      </c>
    </row>
    <row r="35">
      <c r="A35" s="10">
        <v>2.0</v>
      </c>
      <c r="B35" s="10" t="s">
        <v>24</v>
      </c>
      <c r="C35" s="11" t="s">
        <v>19</v>
      </c>
      <c r="D35" s="19">
        <v>1.0E8</v>
      </c>
      <c r="E35" s="12">
        <v>0.0</v>
      </c>
      <c r="F35" s="12">
        <v>500000.0</v>
      </c>
      <c r="G35" s="12">
        <v>6.75E7</v>
      </c>
      <c r="H35" s="12">
        <v>1.16E7</v>
      </c>
      <c r="I35" s="13">
        <v>2.4E7</v>
      </c>
      <c r="J35" s="14">
        <f t="shared" si="9"/>
        <v>103600000</v>
      </c>
      <c r="K35" s="15">
        <f t="shared" si="10"/>
        <v>1.036</v>
      </c>
      <c r="L35" s="16">
        <f t="shared" si="11"/>
        <v>103600000</v>
      </c>
      <c r="M35" s="43">
        <f t="shared" si="12"/>
        <v>1.036</v>
      </c>
      <c r="N35" s="18">
        <v>21.0</v>
      </c>
      <c r="O35" s="19">
        <v>21.0</v>
      </c>
      <c r="P35" s="20" t="s">
        <v>36</v>
      </c>
    </row>
    <row r="36">
      <c r="A36" s="10">
        <v>10.0</v>
      </c>
      <c r="B36" s="10" t="s">
        <v>25</v>
      </c>
      <c r="C36" s="11" t="s">
        <v>26</v>
      </c>
      <c r="D36" s="21">
        <v>0.8</v>
      </c>
      <c r="E36" s="23">
        <v>1.03</v>
      </c>
      <c r="F36" s="23">
        <v>1.04</v>
      </c>
      <c r="G36" s="21">
        <v>1.03</v>
      </c>
      <c r="H36" s="44">
        <v>1.04</v>
      </c>
      <c r="I36" s="24">
        <v>1.077</v>
      </c>
      <c r="J36" s="25">
        <f>average(E36:I36)</f>
        <v>1.0434</v>
      </c>
      <c r="K36" s="22">
        <v>1.0325000000000002</v>
      </c>
      <c r="L36" s="22">
        <v>1.0325000000000002</v>
      </c>
      <c r="M36" s="17">
        <v>1.0325000000000002</v>
      </c>
      <c r="N36" s="18">
        <v>22.0</v>
      </c>
      <c r="O36" s="19">
        <v>21.0</v>
      </c>
      <c r="P36" s="20" t="s">
        <v>23</v>
      </c>
    </row>
    <row r="37">
      <c r="A37" s="10">
        <v>26.0</v>
      </c>
      <c r="B37" s="10" t="s">
        <v>27</v>
      </c>
      <c r="C37" s="11" t="s">
        <v>19</v>
      </c>
      <c r="D37" s="19">
        <v>947.0</v>
      </c>
      <c r="E37" s="18">
        <v>36.0</v>
      </c>
      <c r="F37" s="18">
        <v>69.0</v>
      </c>
      <c r="G37" s="18">
        <v>97.0</v>
      </c>
      <c r="H37" s="18">
        <v>241.0</v>
      </c>
      <c r="I37" s="29">
        <v>110.0</v>
      </c>
      <c r="J37" s="45">
        <f t="shared" ref="J37:J47" si="13">SUM(E37:I37)</f>
        <v>553</v>
      </c>
      <c r="K37" s="15">
        <f t="shared" ref="K37:K49" si="14">J37/D37</f>
        <v>0.5839493136</v>
      </c>
      <c r="L37" s="16">
        <f t="shared" ref="L37:L49" si="15">J37/O37*N37</f>
        <v>553</v>
      </c>
      <c r="M37" s="43">
        <f t="shared" ref="M37:M49" si="16">L37/D37</f>
        <v>0.5839493136</v>
      </c>
      <c r="N37" s="18">
        <v>21.0</v>
      </c>
      <c r="O37" s="18">
        <v>21.0</v>
      </c>
      <c r="P37" s="20" t="s">
        <v>23</v>
      </c>
    </row>
    <row r="38">
      <c r="A38" s="10">
        <v>15.0</v>
      </c>
      <c r="B38" s="10" t="s">
        <v>29</v>
      </c>
      <c r="C38" s="11" t="s">
        <v>19</v>
      </c>
      <c r="D38" s="12">
        <v>1.338E7</v>
      </c>
      <c r="E38" s="19">
        <v>2428000.0</v>
      </c>
      <c r="F38" s="12">
        <v>5470000.0</v>
      </c>
      <c r="G38" s="12">
        <v>4101000.0</v>
      </c>
      <c r="H38" s="19">
        <v>2016000.0</v>
      </c>
      <c r="I38" s="30"/>
      <c r="J38" s="30">
        <f t="shared" si="13"/>
        <v>14015000</v>
      </c>
      <c r="K38" s="15">
        <f t="shared" si="14"/>
        <v>1.047458894</v>
      </c>
      <c r="L38" s="16">
        <f t="shared" si="15"/>
        <v>14715750</v>
      </c>
      <c r="M38" s="43">
        <f t="shared" si="16"/>
        <v>1.099831839</v>
      </c>
      <c r="N38" s="18">
        <v>21.0</v>
      </c>
      <c r="O38" s="18">
        <v>20.0</v>
      </c>
      <c r="P38" s="18" t="s">
        <v>46</v>
      </c>
    </row>
    <row r="39">
      <c r="A39" s="10">
        <v>35.0</v>
      </c>
      <c r="B39" s="10" t="s">
        <v>31</v>
      </c>
      <c r="C39" s="11" t="s">
        <v>19</v>
      </c>
      <c r="D39" s="14">
        <f t="shared" ref="D39:I39" si="17">D14</f>
        <v>254755798.8</v>
      </c>
      <c r="E39" s="14">
        <f t="shared" si="17"/>
        <v>15928382.46</v>
      </c>
      <c r="F39" s="14">
        <f t="shared" si="17"/>
        <v>74505984.96</v>
      </c>
      <c r="G39" s="14">
        <f t="shared" si="17"/>
        <v>41819804</v>
      </c>
      <c r="H39" s="14">
        <f t="shared" si="17"/>
        <v>31458400</v>
      </c>
      <c r="I39" s="14">
        <f t="shared" si="17"/>
        <v>36573401</v>
      </c>
      <c r="J39" s="14">
        <f t="shared" si="13"/>
        <v>200285972.4</v>
      </c>
      <c r="K39" s="15">
        <f t="shared" si="14"/>
        <v>0.7861880804</v>
      </c>
      <c r="L39" s="16">
        <f t="shared" si="15"/>
        <v>200285972.4</v>
      </c>
      <c r="M39" s="43">
        <f t="shared" si="16"/>
        <v>0.7861880804</v>
      </c>
      <c r="N39" s="45">
        <f t="shared" ref="N39:P39" si="18">N14</f>
        <v>21</v>
      </c>
      <c r="O39" s="45">
        <f t="shared" si="18"/>
        <v>21</v>
      </c>
      <c r="P39" s="45" t="str">
        <f t="shared" si="18"/>
        <v>as of January 31 2025</v>
      </c>
    </row>
    <row r="40">
      <c r="A40" s="10">
        <v>102.0</v>
      </c>
      <c r="B40" s="11" t="s">
        <v>32</v>
      </c>
      <c r="C40" s="10" t="s">
        <v>47</v>
      </c>
      <c r="D40" s="19">
        <v>7422.0</v>
      </c>
      <c r="E40" s="18">
        <v>2723.0</v>
      </c>
      <c r="F40" s="18">
        <f>307+460+468+443+494</f>
        <v>2172</v>
      </c>
      <c r="G40" s="18">
        <f>688+249+557+321+357</f>
        <v>2172</v>
      </c>
      <c r="H40" s="18">
        <f>992+382+559+12</f>
        <v>1945</v>
      </c>
      <c r="I40" s="33"/>
      <c r="J40" s="45">
        <f t="shared" si="13"/>
        <v>9012</v>
      </c>
      <c r="K40" s="15">
        <f t="shared" si="14"/>
        <v>1.214227971</v>
      </c>
      <c r="L40" s="16">
        <f t="shared" si="15"/>
        <v>9012</v>
      </c>
      <c r="M40" s="43">
        <f t="shared" si="16"/>
        <v>1.214227971</v>
      </c>
      <c r="N40" s="18">
        <v>21.0</v>
      </c>
      <c r="O40" s="18">
        <v>21.0</v>
      </c>
      <c r="P40" s="45" t="str">
        <f>P15</f>
        <v>as of Janaury 31, 2025</v>
      </c>
      <c r="Q40" s="20" t="s">
        <v>34</v>
      </c>
    </row>
    <row r="41">
      <c r="A41" s="10">
        <v>28.0</v>
      </c>
      <c r="B41" s="11" t="s">
        <v>35</v>
      </c>
      <c r="C41" s="11" t="s">
        <v>19</v>
      </c>
      <c r="D41" s="19">
        <f t="shared" ref="D41:I41" si="19">D16</f>
        <v>277200000</v>
      </c>
      <c r="E41" s="19">
        <f t="shared" si="19"/>
        <v>36571000</v>
      </c>
      <c r="F41" s="19">
        <f t="shared" si="19"/>
        <v>142986000</v>
      </c>
      <c r="G41" s="19">
        <f t="shared" si="19"/>
        <v>132547000</v>
      </c>
      <c r="H41" s="19">
        <f t="shared" si="19"/>
        <v>120864400</v>
      </c>
      <c r="I41" s="30">
        <f t="shared" si="19"/>
        <v>266839950</v>
      </c>
      <c r="J41" s="30">
        <f t="shared" si="13"/>
        <v>699808350</v>
      </c>
      <c r="K41" s="15">
        <f t="shared" si="14"/>
        <v>2.524561147</v>
      </c>
      <c r="L41" s="16">
        <f t="shared" si="15"/>
        <v>699808350</v>
      </c>
      <c r="M41" s="43">
        <f t="shared" si="16"/>
        <v>2.524561147</v>
      </c>
      <c r="N41" s="18">
        <v>23.0</v>
      </c>
      <c r="O41" s="18">
        <v>23.0</v>
      </c>
      <c r="P41" s="20" t="s">
        <v>36</v>
      </c>
    </row>
    <row r="42">
      <c r="A42" s="10">
        <v>11.0</v>
      </c>
      <c r="B42" s="11" t="s">
        <v>37</v>
      </c>
      <c r="C42" s="11" t="s">
        <v>19</v>
      </c>
      <c r="D42" s="30">
        <f t="shared" ref="D42:I42" si="20">D17</f>
        <v>1600</v>
      </c>
      <c r="E42" s="30">
        <f t="shared" si="20"/>
        <v>60</v>
      </c>
      <c r="F42" s="30">
        <f t="shared" si="20"/>
        <v>231</v>
      </c>
      <c r="G42" s="46">
        <f t="shared" si="20"/>
        <v>215</v>
      </c>
      <c r="H42" s="34">
        <f t="shared" si="20"/>
        <v>190</v>
      </c>
      <c r="I42" s="46">
        <f t="shared" si="20"/>
        <v>152</v>
      </c>
      <c r="J42" s="30">
        <f t="shared" si="13"/>
        <v>848</v>
      </c>
      <c r="K42" s="15">
        <f t="shared" si="14"/>
        <v>0.53</v>
      </c>
      <c r="L42" s="16">
        <f t="shared" si="15"/>
        <v>848</v>
      </c>
      <c r="M42" s="43">
        <f t="shared" si="16"/>
        <v>0.53</v>
      </c>
      <c r="N42" s="18">
        <v>23.0</v>
      </c>
      <c r="O42" s="18">
        <v>23.0</v>
      </c>
      <c r="P42" s="20" t="s">
        <v>36</v>
      </c>
    </row>
    <row r="43">
      <c r="A43" s="10">
        <v>1.0</v>
      </c>
      <c r="B43" s="11" t="s">
        <v>38</v>
      </c>
      <c r="C43" s="11" t="s">
        <v>19</v>
      </c>
      <c r="D43" s="30">
        <f t="shared" ref="D43:I43" si="21">D18</f>
        <v>550</v>
      </c>
      <c r="E43" s="30">
        <f t="shared" si="21"/>
        <v>44</v>
      </c>
      <c r="F43" s="30">
        <f t="shared" si="21"/>
        <v>112</v>
      </c>
      <c r="G43" s="33">
        <f t="shared" si="21"/>
        <v>100</v>
      </c>
      <c r="H43" s="33">
        <f t="shared" si="21"/>
        <v>123</v>
      </c>
      <c r="I43" s="46">
        <f t="shared" si="21"/>
        <v>79</v>
      </c>
      <c r="J43" s="30">
        <f t="shared" si="13"/>
        <v>458</v>
      </c>
      <c r="K43" s="15">
        <f t="shared" si="14"/>
        <v>0.8327272727</v>
      </c>
      <c r="L43" s="16">
        <f t="shared" si="15"/>
        <v>458</v>
      </c>
      <c r="M43" s="43">
        <f t="shared" si="16"/>
        <v>0.8327272727</v>
      </c>
      <c r="N43" s="18">
        <v>23.0</v>
      </c>
      <c r="O43" s="18">
        <v>23.0</v>
      </c>
      <c r="P43" s="20" t="s">
        <v>36</v>
      </c>
    </row>
    <row r="44">
      <c r="A44" s="10">
        <v>2.0</v>
      </c>
      <c r="B44" s="10" t="s">
        <v>39</v>
      </c>
      <c r="C44" s="11" t="s">
        <v>19</v>
      </c>
      <c r="D44" s="19">
        <f t="shared" ref="D44:I44" si="22">D19</f>
        <v>600</v>
      </c>
      <c r="E44" s="19">
        <f t="shared" si="22"/>
        <v>42</v>
      </c>
      <c r="F44" s="19">
        <f t="shared" si="22"/>
        <v>165</v>
      </c>
      <c r="G44" s="33">
        <f t="shared" si="22"/>
        <v>131</v>
      </c>
      <c r="H44" s="33">
        <f t="shared" si="22"/>
        <v>99</v>
      </c>
      <c r="I44" s="46">
        <f t="shared" si="22"/>
        <v>95</v>
      </c>
      <c r="J44" s="30">
        <f t="shared" si="13"/>
        <v>532</v>
      </c>
      <c r="K44" s="15">
        <f t="shared" si="14"/>
        <v>0.8866666667</v>
      </c>
      <c r="L44" s="16">
        <f t="shared" si="15"/>
        <v>532</v>
      </c>
      <c r="M44" s="43">
        <f t="shared" si="16"/>
        <v>0.8866666667</v>
      </c>
      <c r="N44" s="18">
        <v>23.0</v>
      </c>
      <c r="O44" s="18">
        <v>23.0</v>
      </c>
      <c r="P44" s="20" t="s">
        <v>36</v>
      </c>
    </row>
    <row r="45">
      <c r="A45" s="10">
        <v>15.0</v>
      </c>
      <c r="B45" s="10" t="s">
        <v>48</v>
      </c>
      <c r="C45" s="11" t="s">
        <v>19</v>
      </c>
      <c r="D45" s="12">
        <v>900.0</v>
      </c>
      <c r="E45" s="19">
        <v>13.0</v>
      </c>
      <c r="F45" s="29">
        <v>67.0</v>
      </c>
      <c r="G45" s="29">
        <v>28.0</v>
      </c>
      <c r="H45" s="29">
        <v>46.0</v>
      </c>
      <c r="I45" s="29">
        <v>28.0</v>
      </c>
      <c r="J45" s="30">
        <f t="shared" si="13"/>
        <v>182</v>
      </c>
      <c r="K45" s="15">
        <f t="shared" si="14"/>
        <v>0.2022222222</v>
      </c>
      <c r="L45" s="16">
        <f t="shared" si="15"/>
        <v>182</v>
      </c>
      <c r="M45" s="43">
        <f t="shared" si="16"/>
        <v>0.2022222222</v>
      </c>
      <c r="N45" s="18">
        <v>21.0</v>
      </c>
      <c r="O45" s="18">
        <f t="shared" ref="O45:P45" si="23">O20</f>
        <v>21</v>
      </c>
      <c r="P45" s="20" t="str">
        <f t="shared" si="23"/>
        <v>as of January 31 2025</v>
      </c>
    </row>
    <row r="46">
      <c r="A46" s="10">
        <v>5.0</v>
      </c>
      <c r="B46" s="10" t="s">
        <v>41</v>
      </c>
      <c r="C46" s="11" t="s">
        <v>19</v>
      </c>
      <c r="D46" s="12">
        <v>150.0</v>
      </c>
      <c r="E46" s="19">
        <v>1.0</v>
      </c>
      <c r="F46" s="29">
        <v>8.0</v>
      </c>
      <c r="G46" s="29">
        <v>7.0</v>
      </c>
      <c r="H46" s="32">
        <v>15.0</v>
      </c>
      <c r="I46" s="29">
        <v>5.0</v>
      </c>
      <c r="J46" s="30">
        <f t="shared" si="13"/>
        <v>36</v>
      </c>
      <c r="K46" s="15">
        <f t="shared" si="14"/>
        <v>0.24</v>
      </c>
      <c r="L46" s="16">
        <f t="shared" si="15"/>
        <v>36</v>
      </c>
      <c r="M46" s="43">
        <f t="shared" si="16"/>
        <v>0.24</v>
      </c>
      <c r="N46" s="18">
        <v>21.0</v>
      </c>
      <c r="O46" s="18">
        <f t="shared" ref="O46:P46" si="24">O21</f>
        <v>21</v>
      </c>
      <c r="P46" s="20" t="str">
        <f t="shared" si="24"/>
        <v>as of January 31 2025</v>
      </c>
    </row>
    <row r="47">
      <c r="A47" s="10">
        <v>21.0</v>
      </c>
      <c r="B47" s="11" t="s">
        <v>42</v>
      </c>
      <c r="C47" s="11" t="s">
        <v>19</v>
      </c>
      <c r="D47" s="12">
        <v>1512.0</v>
      </c>
      <c r="E47" s="19">
        <v>95.0</v>
      </c>
      <c r="F47" s="29">
        <v>454.0</v>
      </c>
      <c r="G47" s="29">
        <v>260.0</v>
      </c>
      <c r="H47" s="32">
        <v>445.0</v>
      </c>
      <c r="I47" s="29">
        <v>289.0</v>
      </c>
      <c r="J47" s="30">
        <f t="shared" si="13"/>
        <v>1543</v>
      </c>
      <c r="K47" s="15">
        <f t="shared" si="14"/>
        <v>1.020502646</v>
      </c>
      <c r="L47" s="16">
        <f t="shared" si="15"/>
        <v>1543</v>
      </c>
      <c r="M47" s="43">
        <f t="shared" si="16"/>
        <v>1.020502646</v>
      </c>
      <c r="N47" s="18">
        <v>21.0</v>
      </c>
      <c r="O47" s="18">
        <v>21.0</v>
      </c>
      <c r="P47" s="20" t="s">
        <v>49</v>
      </c>
    </row>
    <row r="48">
      <c r="A48" s="10">
        <v>1.0</v>
      </c>
      <c r="B48" s="10" t="s">
        <v>43</v>
      </c>
      <c r="C48" s="11" t="s">
        <v>19</v>
      </c>
      <c r="D48" s="12">
        <v>44.0</v>
      </c>
      <c r="E48" s="12">
        <v>3.0</v>
      </c>
      <c r="F48" s="12">
        <v>17.0</v>
      </c>
      <c r="G48" s="12">
        <v>14.0</v>
      </c>
      <c r="H48" s="12">
        <v>14.0</v>
      </c>
      <c r="I48" s="12">
        <v>6.0</v>
      </c>
      <c r="J48" s="30">
        <f>sum(E48:I48)</f>
        <v>54</v>
      </c>
      <c r="K48" s="15">
        <f t="shared" si="14"/>
        <v>1.227272727</v>
      </c>
      <c r="L48" s="16">
        <f t="shared" si="15"/>
        <v>54</v>
      </c>
      <c r="M48" s="43">
        <f t="shared" si="16"/>
        <v>1.227272727</v>
      </c>
      <c r="N48" s="18">
        <v>21.0</v>
      </c>
      <c r="O48" s="18">
        <f t="shared" ref="O48:P48" si="25">O23</f>
        <v>21</v>
      </c>
      <c r="P48" s="20" t="str">
        <f t="shared" si="25"/>
        <v>as of January 31 2025</v>
      </c>
    </row>
    <row r="49">
      <c r="A49" s="10">
        <v>45.0</v>
      </c>
      <c r="B49" s="10" t="s">
        <v>44</v>
      </c>
      <c r="C49" s="11" t="s">
        <v>19</v>
      </c>
      <c r="D49" s="21">
        <v>0.85</v>
      </c>
      <c r="E49" s="21">
        <v>0.938</v>
      </c>
      <c r="F49" s="24">
        <v>0.98</v>
      </c>
      <c r="G49" s="24">
        <v>0.99</v>
      </c>
      <c r="H49" s="24">
        <v>0.96</v>
      </c>
      <c r="I49" s="24">
        <v>0.97</v>
      </c>
      <c r="J49" s="21">
        <v>0.97</v>
      </c>
      <c r="K49" s="15">
        <f t="shared" si="14"/>
        <v>1.141176471</v>
      </c>
      <c r="L49" s="22">
        <f t="shared" si="15"/>
        <v>0.97</v>
      </c>
      <c r="M49" s="43">
        <f t="shared" si="16"/>
        <v>1.141176471</v>
      </c>
      <c r="N49" s="18">
        <v>31.0</v>
      </c>
      <c r="O49" s="18">
        <f t="shared" ref="O49:P49" si="26">O24</f>
        <v>31</v>
      </c>
      <c r="P49" s="20" t="str">
        <f t="shared" si="26"/>
        <v>as of January 31 2025</v>
      </c>
    </row>
    <row r="50">
      <c r="A50" s="47"/>
      <c r="B50" s="48"/>
      <c r="C50" s="47"/>
      <c r="D50" s="49"/>
      <c r="E50" s="49"/>
      <c r="F50" s="50"/>
      <c r="G50" s="38"/>
      <c r="H50" s="36"/>
      <c r="I50" s="50"/>
      <c r="J50" s="50"/>
      <c r="K50" s="51"/>
      <c r="L50" s="52"/>
      <c r="M50" s="53"/>
      <c r="N50" s="54"/>
      <c r="O50" s="54"/>
    </row>
    <row r="51">
      <c r="A51" s="35"/>
      <c r="B51" s="35"/>
      <c r="C51" s="35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</row>
    <row r="52">
      <c r="A52" s="35"/>
      <c r="B52" s="35"/>
      <c r="C52" s="35"/>
      <c r="D52" s="38"/>
      <c r="E52" s="38"/>
      <c r="F52" s="36"/>
      <c r="G52" s="38"/>
      <c r="H52" s="38"/>
      <c r="I52" s="38"/>
      <c r="J52" s="55"/>
      <c r="K52" s="56"/>
      <c r="L52" s="38"/>
      <c r="M52" s="38"/>
      <c r="N52" s="38"/>
      <c r="O52" s="38"/>
    </row>
    <row r="53">
      <c r="A53" s="35"/>
      <c r="B53" s="35"/>
      <c r="C53" s="35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</row>
    <row r="54">
      <c r="A54" s="35"/>
      <c r="B54" s="35"/>
      <c r="C54" s="35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</row>
    <row r="55">
      <c r="A55" s="35"/>
      <c r="B55" s="35"/>
      <c r="C55" s="35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</row>
    <row r="56">
      <c r="A56" s="35"/>
      <c r="B56" s="35"/>
      <c r="C56" s="35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</row>
    <row r="57">
      <c r="A57" s="35"/>
      <c r="B57" s="35"/>
      <c r="C57" s="35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</row>
    <row r="58">
      <c r="A58" s="35"/>
      <c r="B58" s="35"/>
      <c r="C58" s="35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</row>
    <row r="59">
      <c r="A59" s="35"/>
      <c r="B59" s="35"/>
      <c r="C59" s="35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</row>
    <row r="60">
      <c r="A60" s="35"/>
      <c r="B60" s="35"/>
      <c r="C60" s="35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</row>
    <row r="61">
      <c r="A61" s="35"/>
      <c r="B61" s="35"/>
      <c r="C61" s="35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</row>
    <row r="62">
      <c r="A62" s="35"/>
      <c r="B62" s="35"/>
      <c r="C62" s="35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</row>
    <row r="63">
      <c r="A63" s="35"/>
      <c r="B63" s="35"/>
      <c r="C63" s="35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</row>
    <row r="64">
      <c r="A64" s="35"/>
      <c r="B64" s="35"/>
      <c r="C64" s="35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</row>
    <row r="65">
      <c r="A65" s="35"/>
      <c r="B65" s="35"/>
      <c r="C65" s="35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</row>
    <row r="66">
      <c r="A66" s="35"/>
      <c r="B66" s="35"/>
      <c r="C66" s="35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</row>
    <row r="67">
      <c r="A67" s="35"/>
      <c r="B67" s="35"/>
      <c r="C67" s="35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</row>
    <row r="68">
      <c r="A68" s="35"/>
      <c r="B68" s="35"/>
      <c r="C68" s="35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</row>
    <row r="69">
      <c r="A69" s="35"/>
      <c r="B69" s="35"/>
      <c r="C69" s="35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</row>
    <row r="70">
      <c r="A70" s="35"/>
      <c r="B70" s="35"/>
      <c r="C70" s="35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</row>
    <row r="71">
      <c r="A71" s="35"/>
      <c r="B71" s="35"/>
      <c r="C71" s="35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</row>
    <row r="72">
      <c r="A72" s="35"/>
      <c r="B72" s="35"/>
      <c r="C72" s="35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</row>
    <row r="73">
      <c r="A73" s="35"/>
      <c r="B73" s="35"/>
      <c r="C73" s="35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</row>
    <row r="74">
      <c r="A74" s="35"/>
      <c r="B74" s="35"/>
      <c r="C74" s="35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</row>
    <row r="75">
      <c r="A75" s="35"/>
      <c r="B75" s="35"/>
      <c r="C75" s="35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</row>
    <row r="76">
      <c r="A76" s="35"/>
      <c r="B76" s="35"/>
      <c r="C76" s="35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</row>
    <row r="77">
      <c r="A77" s="35"/>
      <c r="B77" s="35"/>
      <c r="C77" s="35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</row>
    <row r="78">
      <c r="A78" s="35"/>
      <c r="B78" s="35"/>
      <c r="C78" s="35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</row>
    <row r="79">
      <c r="A79" s="35"/>
      <c r="B79" s="35"/>
      <c r="C79" s="35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</row>
    <row r="80">
      <c r="A80" s="35"/>
      <c r="B80" s="35"/>
      <c r="C80" s="35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</row>
    <row r="81">
      <c r="A81" s="35"/>
      <c r="B81" s="35"/>
      <c r="C81" s="35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</row>
    <row r="82">
      <c r="A82" s="35"/>
      <c r="B82" s="35"/>
      <c r="C82" s="35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</row>
    <row r="83">
      <c r="A83" s="35"/>
      <c r="B83" s="35"/>
      <c r="C83" s="35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</row>
    <row r="84">
      <c r="A84" s="35"/>
      <c r="B84" s="35"/>
      <c r="C84" s="35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</row>
    <row r="85">
      <c r="A85" s="35"/>
      <c r="B85" s="35"/>
      <c r="C85" s="35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</row>
    <row r="86">
      <c r="A86" s="35"/>
      <c r="B86" s="35"/>
      <c r="C86" s="35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</row>
    <row r="87">
      <c r="A87" s="35"/>
      <c r="B87" s="35"/>
      <c r="C87" s="35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</row>
    <row r="88">
      <c r="A88" s="35"/>
      <c r="B88" s="35"/>
      <c r="C88" s="35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</row>
    <row r="89">
      <c r="A89" s="35"/>
      <c r="B89" s="35"/>
      <c r="C89" s="35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</row>
    <row r="90">
      <c r="A90" s="35"/>
      <c r="B90" s="35"/>
      <c r="C90" s="35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</row>
    <row r="91">
      <c r="A91" s="35"/>
      <c r="B91" s="35"/>
      <c r="C91" s="35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</row>
    <row r="92">
      <c r="A92" s="35"/>
      <c r="B92" s="35"/>
      <c r="C92" s="35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</row>
    <row r="93">
      <c r="A93" s="35"/>
      <c r="B93" s="35"/>
      <c r="C93" s="35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</row>
    <row r="94">
      <c r="A94" s="35"/>
      <c r="B94" s="35"/>
      <c r="C94" s="35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</row>
    <row r="95">
      <c r="A95" s="35"/>
      <c r="B95" s="35"/>
      <c r="C95" s="35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</row>
    <row r="96">
      <c r="A96" s="35"/>
      <c r="B96" s="35"/>
      <c r="C96" s="35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</row>
    <row r="97">
      <c r="A97" s="35"/>
      <c r="B97" s="35"/>
      <c r="C97" s="35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</row>
    <row r="98">
      <c r="A98" s="35"/>
      <c r="B98" s="35"/>
      <c r="C98" s="35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</row>
    <row r="99">
      <c r="A99" s="35"/>
      <c r="B99" s="35"/>
      <c r="C99" s="35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</row>
    <row r="100">
      <c r="A100" s="35"/>
      <c r="B100" s="35"/>
      <c r="C100" s="35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</row>
    <row r="101">
      <c r="A101" s="35"/>
      <c r="B101" s="35"/>
      <c r="C101" s="35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</row>
    <row r="102">
      <c r="A102" s="35"/>
      <c r="B102" s="35"/>
      <c r="C102" s="35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</row>
    <row r="103">
      <c r="A103" s="35"/>
      <c r="B103" s="35"/>
      <c r="C103" s="35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</row>
    <row r="104">
      <c r="A104" s="35"/>
      <c r="B104" s="35"/>
      <c r="C104" s="35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</row>
    <row r="105">
      <c r="A105" s="35"/>
      <c r="B105" s="35"/>
      <c r="C105" s="35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</row>
    <row r="106">
      <c r="A106" s="35"/>
      <c r="B106" s="35"/>
      <c r="C106" s="35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</row>
    <row r="107">
      <c r="A107" s="35"/>
      <c r="B107" s="35"/>
      <c r="C107" s="35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</row>
    <row r="108">
      <c r="A108" s="35"/>
      <c r="B108" s="35"/>
      <c r="C108" s="35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</row>
    <row r="109">
      <c r="A109" s="35"/>
      <c r="B109" s="35"/>
      <c r="C109" s="35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</row>
    <row r="110">
      <c r="A110" s="35"/>
      <c r="B110" s="35"/>
      <c r="C110" s="35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</row>
    <row r="111">
      <c r="A111" s="35"/>
      <c r="B111" s="35"/>
      <c r="C111" s="35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</row>
    <row r="112">
      <c r="A112" s="35"/>
      <c r="B112" s="35"/>
      <c r="C112" s="35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</row>
    <row r="113">
      <c r="A113" s="35"/>
      <c r="B113" s="35"/>
      <c r="C113" s="35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</row>
    <row r="114">
      <c r="A114" s="35"/>
      <c r="B114" s="35"/>
      <c r="C114" s="35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</row>
    <row r="115">
      <c r="A115" s="35"/>
      <c r="B115" s="35"/>
      <c r="C115" s="35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</row>
    <row r="116">
      <c r="A116" s="35"/>
      <c r="B116" s="35"/>
      <c r="C116" s="35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</row>
    <row r="117">
      <c r="A117" s="35"/>
      <c r="B117" s="35"/>
      <c r="C117" s="35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</row>
    <row r="118">
      <c r="A118" s="35"/>
      <c r="B118" s="35"/>
      <c r="C118" s="35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</row>
    <row r="119">
      <c r="A119" s="35"/>
      <c r="B119" s="35"/>
      <c r="C119" s="35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</row>
    <row r="120">
      <c r="A120" s="35"/>
      <c r="B120" s="35"/>
      <c r="C120" s="35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</row>
    <row r="121">
      <c r="A121" s="35"/>
      <c r="B121" s="35"/>
      <c r="C121" s="35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</row>
    <row r="122">
      <c r="A122" s="35"/>
      <c r="B122" s="35"/>
      <c r="C122" s="35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</row>
    <row r="123">
      <c r="A123" s="35"/>
      <c r="B123" s="35"/>
      <c r="C123" s="35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</row>
    <row r="124">
      <c r="A124" s="35"/>
      <c r="B124" s="35"/>
      <c r="C124" s="35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</row>
    <row r="125">
      <c r="A125" s="35"/>
      <c r="B125" s="35"/>
      <c r="C125" s="35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</row>
    <row r="126">
      <c r="A126" s="35"/>
      <c r="B126" s="35"/>
      <c r="C126" s="35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</row>
    <row r="127">
      <c r="A127" s="35"/>
      <c r="B127" s="35"/>
      <c r="C127" s="35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</row>
    <row r="128">
      <c r="A128" s="35"/>
      <c r="B128" s="35"/>
      <c r="C128" s="35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</row>
    <row r="129">
      <c r="A129" s="35"/>
      <c r="B129" s="35"/>
      <c r="C129" s="35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</row>
    <row r="130">
      <c r="A130" s="35"/>
      <c r="B130" s="35"/>
      <c r="C130" s="35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</row>
    <row r="131">
      <c r="A131" s="35"/>
      <c r="B131" s="35"/>
      <c r="C131" s="35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</row>
    <row r="132">
      <c r="A132" s="35"/>
      <c r="B132" s="35"/>
      <c r="C132" s="35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</row>
    <row r="133">
      <c r="A133" s="35"/>
      <c r="B133" s="35"/>
      <c r="C133" s="35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</row>
    <row r="134">
      <c r="A134" s="35"/>
      <c r="B134" s="35"/>
      <c r="C134" s="35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</row>
    <row r="135">
      <c r="A135" s="35"/>
      <c r="B135" s="35"/>
      <c r="C135" s="35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</row>
    <row r="136">
      <c r="A136" s="35"/>
      <c r="B136" s="35"/>
      <c r="C136" s="35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</row>
    <row r="137">
      <c r="A137" s="35"/>
      <c r="B137" s="35"/>
      <c r="C137" s="35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</row>
    <row r="138">
      <c r="A138" s="35"/>
      <c r="B138" s="35"/>
      <c r="C138" s="35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</row>
    <row r="139">
      <c r="A139" s="35"/>
      <c r="B139" s="35"/>
      <c r="C139" s="35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</row>
    <row r="140">
      <c r="A140" s="35"/>
      <c r="B140" s="35"/>
      <c r="C140" s="35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</row>
    <row r="141">
      <c r="A141" s="35"/>
      <c r="B141" s="35"/>
      <c r="C141" s="35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</row>
    <row r="142">
      <c r="A142" s="35"/>
      <c r="B142" s="35"/>
      <c r="C142" s="35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</row>
    <row r="143">
      <c r="A143" s="35"/>
      <c r="B143" s="35"/>
      <c r="C143" s="35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</row>
    <row r="144">
      <c r="A144" s="35"/>
      <c r="B144" s="35"/>
      <c r="C144" s="35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</row>
    <row r="145">
      <c r="A145" s="35"/>
      <c r="B145" s="35"/>
      <c r="C145" s="35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</row>
    <row r="146">
      <c r="A146" s="35"/>
      <c r="B146" s="35"/>
      <c r="C146" s="35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</row>
    <row r="147">
      <c r="A147" s="35"/>
      <c r="B147" s="35"/>
      <c r="C147" s="35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</row>
    <row r="148">
      <c r="A148" s="35"/>
      <c r="B148" s="35"/>
      <c r="C148" s="35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</row>
    <row r="149">
      <c r="A149" s="35"/>
      <c r="B149" s="35"/>
      <c r="C149" s="35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</row>
    <row r="150">
      <c r="A150" s="35"/>
      <c r="B150" s="35"/>
      <c r="C150" s="35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</row>
    <row r="151">
      <c r="A151" s="35"/>
      <c r="B151" s="35"/>
      <c r="C151" s="35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</row>
    <row r="152">
      <c r="A152" s="35"/>
      <c r="B152" s="35"/>
      <c r="C152" s="35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</row>
    <row r="153">
      <c r="A153" s="35"/>
      <c r="B153" s="35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</row>
    <row r="154">
      <c r="A154" s="35"/>
      <c r="B154" s="35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</row>
    <row r="155">
      <c r="A155" s="35"/>
      <c r="B155" s="35"/>
      <c r="C155" s="35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</row>
    <row r="156">
      <c r="A156" s="35"/>
      <c r="B156" s="35"/>
      <c r="C156" s="35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</row>
    <row r="157">
      <c r="A157" s="35"/>
      <c r="B157" s="35"/>
      <c r="C157" s="35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</row>
    <row r="158">
      <c r="A158" s="35"/>
      <c r="B158" s="35"/>
      <c r="C158" s="35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</row>
    <row r="159">
      <c r="A159" s="35"/>
      <c r="B159" s="35"/>
      <c r="C159" s="35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</row>
    <row r="160">
      <c r="A160" s="35"/>
      <c r="B160" s="35"/>
      <c r="C160" s="35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</row>
    <row r="161">
      <c r="A161" s="35"/>
      <c r="B161" s="35"/>
      <c r="C161" s="35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</row>
    <row r="162">
      <c r="A162" s="35"/>
      <c r="B162" s="35"/>
      <c r="C162" s="35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</row>
    <row r="163">
      <c r="A163" s="35"/>
      <c r="B163" s="35"/>
      <c r="C163" s="35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</row>
    <row r="164">
      <c r="A164" s="35"/>
      <c r="B164" s="35"/>
      <c r="C164" s="35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</row>
    <row r="165">
      <c r="A165" s="35"/>
      <c r="B165" s="35"/>
      <c r="C165" s="35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</row>
    <row r="166">
      <c r="A166" s="35"/>
      <c r="B166" s="35"/>
      <c r="C166" s="35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</row>
    <row r="167">
      <c r="A167" s="35"/>
      <c r="B167" s="35"/>
      <c r="C167" s="35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</row>
    <row r="168">
      <c r="A168" s="35"/>
      <c r="B168" s="35"/>
      <c r="C168" s="35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</row>
    <row r="169">
      <c r="A169" s="35"/>
      <c r="B169" s="35"/>
      <c r="C169" s="35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</row>
    <row r="170">
      <c r="A170" s="35"/>
      <c r="B170" s="35"/>
      <c r="C170" s="35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</row>
    <row r="171">
      <c r="A171" s="35"/>
      <c r="B171" s="35"/>
      <c r="C171" s="35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</row>
    <row r="172">
      <c r="A172" s="35"/>
      <c r="B172" s="35"/>
      <c r="C172" s="35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</row>
    <row r="173">
      <c r="A173" s="35"/>
      <c r="B173" s="35"/>
      <c r="C173" s="35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</row>
    <row r="174">
      <c r="A174" s="35"/>
      <c r="B174" s="35"/>
      <c r="C174" s="35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</row>
    <row r="175">
      <c r="A175" s="35"/>
      <c r="B175" s="35"/>
      <c r="C175" s="35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</row>
    <row r="176">
      <c r="A176" s="35"/>
      <c r="B176" s="35"/>
      <c r="C176" s="35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</row>
    <row r="177">
      <c r="A177" s="35"/>
      <c r="B177" s="35"/>
      <c r="C177" s="35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</row>
    <row r="178">
      <c r="A178" s="35"/>
      <c r="B178" s="35"/>
      <c r="C178" s="35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</row>
    <row r="179">
      <c r="A179" s="35"/>
      <c r="B179" s="35"/>
      <c r="C179" s="35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</row>
    <row r="180">
      <c r="A180" s="35"/>
      <c r="B180" s="35"/>
      <c r="C180" s="35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</row>
    <row r="181">
      <c r="A181" s="35"/>
      <c r="B181" s="35"/>
      <c r="C181" s="35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</row>
    <row r="182">
      <c r="A182" s="35"/>
      <c r="B182" s="35"/>
      <c r="C182" s="35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</row>
    <row r="183">
      <c r="A183" s="35"/>
      <c r="B183" s="35"/>
      <c r="C183" s="35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</row>
    <row r="184">
      <c r="A184" s="35"/>
      <c r="B184" s="35"/>
      <c r="C184" s="35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</row>
    <row r="185">
      <c r="A185" s="35"/>
      <c r="B185" s="35"/>
      <c r="C185" s="35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</row>
    <row r="186">
      <c r="A186" s="35"/>
      <c r="B186" s="35"/>
      <c r="C186" s="35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</row>
    <row r="187">
      <c r="A187" s="35"/>
      <c r="B187" s="35"/>
      <c r="C187" s="35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</row>
    <row r="188">
      <c r="A188" s="35"/>
      <c r="B188" s="35"/>
      <c r="C188" s="35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</row>
    <row r="189">
      <c r="A189" s="35"/>
      <c r="B189" s="35"/>
      <c r="C189" s="35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</row>
    <row r="190">
      <c r="A190" s="35"/>
      <c r="B190" s="35"/>
      <c r="C190" s="35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</row>
    <row r="191">
      <c r="A191" s="35"/>
      <c r="B191" s="35"/>
      <c r="C191" s="35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</row>
    <row r="192">
      <c r="A192" s="35"/>
      <c r="B192" s="35"/>
      <c r="C192" s="35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</row>
    <row r="193">
      <c r="A193" s="35"/>
      <c r="B193" s="35"/>
      <c r="C193" s="35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</row>
    <row r="194">
      <c r="A194" s="35"/>
      <c r="B194" s="35"/>
      <c r="C194" s="35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</row>
    <row r="195">
      <c r="A195" s="35"/>
      <c r="B195" s="35"/>
      <c r="C195" s="35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</row>
    <row r="196">
      <c r="A196" s="35"/>
      <c r="B196" s="35"/>
      <c r="C196" s="35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</row>
    <row r="197">
      <c r="A197" s="35"/>
      <c r="B197" s="35"/>
      <c r="C197" s="35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</row>
    <row r="198">
      <c r="A198" s="35"/>
      <c r="B198" s="35"/>
      <c r="C198" s="35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</row>
    <row r="199">
      <c r="A199" s="35"/>
      <c r="B199" s="35"/>
      <c r="C199" s="35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</row>
    <row r="200">
      <c r="A200" s="35"/>
      <c r="B200" s="35"/>
      <c r="C200" s="35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</row>
    <row r="201">
      <c r="A201" s="35"/>
      <c r="B201" s="35"/>
      <c r="C201" s="35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</row>
    <row r="202">
      <c r="A202" s="35"/>
      <c r="B202" s="35"/>
      <c r="C202" s="35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</row>
    <row r="203">
      <c r="A203" s="35"/>
      <c r="B203" s="35"/>
      <c r="C203" s="35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</row>
    <row r="204">
      <c r="A204" s="35"/>
      <c r="B204" s="35"/>
      <c r="C204" s="35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</row>
    <row r="205">
      <c r="A205" s="35"/>
      <c r="B205" s="35"/>
      <c r="C205" s="35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</row>
    <row r="206">
      <c r="A206" s="35"/>
      <c r="B206" s="35"/>
      <c r="C206" s="35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</row>
    <row r="207">
      <c r="A207" s="35"/>
      <c r="B207" s="35"/>
      <c r="C207" s="35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</row>
    <row r="208">
      <c r="A208" s="35"/>
      <c r="B208" s="35"/>
      <c r="C208" s="35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</row>
    <row r="209">
      <c r="A209" s="35"/>
      <c r="B209" s="35"/>
      <c r="C209" s="35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</row>
    <row r="210">
      <c r="A210" s="35"/>
      <c r="B210" s="35"/>
      <c r="C210" s="35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</row>
    <row r="211">
      <c r="A211" s="35"/>
      <c r="B211" s="35"/>
      <c r="C211" s="35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</row>
    <row r="212">
      <c r="A212" s="35"/>
      <c r="B212" s="35"/>
      <c r="C212" s="35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</row>
    <row r="213">
      <c r="A213" s="35"/>
      <c r="B213" s="35"/>
      <c r="C213" s="35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</row>
    <row r="214">
      <c r="A214" s="35"/>
      <c r="B214" s="35"/>
      <c r="C214" s="35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</row>
    <row r="215">
      <c r="A215" s="35"/>
      <c r="B215" s="35"/>
      <c r="C215" s="35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</row>
    <row r="216">
      <c r="A216" s="35"/>
      <c r="B216" s="35"/>
      <c r="C216" s="35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</row>
    <row r="217">
      <c r="A217" s="35"/>
      <c r="B217" s="35"/>
      <c r="C217" s="35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</row>
    <row r="218">
      <c r="A218" s="35"/>
      <c r="B218" s="35"/>
      <c r="C218" s="35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</row>
    <row r="219">
      <c r="A219" s="35"/>
      <c r="B219" s="35"/>
      <c r="C219" s="35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</row>
    <row r="220">
      <c r="A220" s="35"/>
      <c r="B220" s="35"/>
      <c r="C220" s="35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</row>
    <row r="221">
      <c r="A221" s="35"/>
      <c r="B221" s="35"/>
      <c r="C221" s="35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</row>
    <row r="222">
      <c r="A222" s="35"/>
      <c r="B222" s="35"/>
      <c r="C222" s="35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</row>
    <row r="223">
      <c r="A223" s="35"/>
      <c r="B223" s="35"/>
      <c r="C223" s="35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</row>
    <row r="224">
      <c r="A224" s="35"/>
      <c r="B224" s="35"/>
      <c r="C224" s="35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</row>
    <row r="225">
      <c r="A225" s="35"/>
      <c r="B225" s="35"/>
      <c r="C225" s="35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</row>
    <row r="226">
      <c r="A226" s="35"/>
      <c r="B226" s="35"/>
      <c r="C226" s="35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</row>
    <row r="227">
      <c r="A227" s="35"/>
      <c r="B227" s="35"/>
      <c r="C227" s="35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</row>
    <row r="228">
      <c r="A228" s="35"/>
      <c r="B228" s="35"/>
      <c r="C228" s="35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</row>
    <row r="229">
      <c r="A229" s="35"/>
      <c r="B229" s="35"/>
      <c r="C229" s="35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</row>
    <row r="230">
      <c r="A230" s="35"/>
      <c r="B230" s="35"/>
      <c r="C230" s="35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</row>
    <row r="231">
      <c r="A231" s="35"/>
      <c r="B231" s="35"/>
      <c r="C231" s="35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</row>
    <row r="232">
      <c r="A232" s="35"/>
      <c r="B232" s="35"/>
      <c r="C232" s="35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</row>
    <row r="233">
      <c r="A233" s="35"/>
      <c r="B233" s="35"/>
      <c r="C233" s="35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</row>
    <row r="234">
      <c r="A234" s="35"/>
      <c r="B234" s="35"/>
      <c r="C234" s="35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</row>
    <row r="235">
      <c r="A235" s="35"/>
      <c r="B235" s="35"/>
      <c r="C235" s="35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</row>
    <row r="236">
      <c r="A236" s="35"/>
      <c r="B236" s="35"/>
      <c r="C236" s="35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</row>
    <row r="237">
      <c r="A237" s="35"/>
      <c r="B237" s="35"/>
      <c r="C237" s="35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</row>
    <row r="238">
      <c r="A238" s="35"/>
      <c r="B238" s="35"/>
      <c r="C238" s="35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</row>
    <row r="239">
      <c r="A239" s="35"/>
      <c r="B239" s="35"/>
      <c r="C239" s="35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</row>
    <row r="240">
      <c r="A240" s="35"/>
      <c r="B240" s="35"/>
      <c r="C240" s="35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</row>
    <row r="241">
      <c r="A241" s="35"/>
      <c r="B241" s="35"/>
      <c r="C241" s="35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</row>
    <row r="242">
      <c r="A242" s="35"/>
      <c r="B242" s="35"/>
      <c r="C242" s="35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</row>
    <row r="243">
      <c r="A243" s="35"/>
      <c r="B243" s="35"/>
      <c r="C243" s="35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</row>
    <row r="244">
      <c r="A244" s="35"/>
      <c r="B244" s="35"/>
      <c r="C244" s="35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</row>
    <row r="245">
      <c r="A245" s="35"/>
      <c r="B245" s="35"/>
      <c r="C245" s="35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</row>
    <row r="246">
      <c r="A246" s="35"/>
      <c r="B246" s="35"/>
      <c r="C246" s="35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</row>
    <row r="247">
      <c r="A247" s="35"/>
      <c r="B247" s="35"/>
      <c r="C247" s="35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</row>
    <row r="248">
      <c r="A248" s="35"/>
      <c r="B248" s="35"/>
      <c r="C248" s="35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</row>
    <row r="249">
      <c r="A249" s="35"/>
      <c r="B249" s="35"/>
      <c r="C249" s="35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</row>
    <row r="250">
      <c r="A250" s="35"/>
      <c r="B250" s="35"/>
      <c r="C250" s="35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</row>
    <row r="251">
      <c r="A251" s="35"/>
      <c r="B251" s="35"/>
      <c r="C251" s="35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</row>
    <row r="252">
      <c r="A252" s="35"/>
      <c r="B252" s="35"/>
      <c r="C252" s="35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</row>
    <row r="253">
      <c r="A253" s="35"/>
      <c r="B253" s="35"/>
      <c r="C253" s="35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</row>
    <row r="254">
      <c r="A254" s="35"/>
      <c r="B254" s="35"/>
      <c r="C254" s="35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</row>
    <row r="255">
      <c r="A255" s="35"/>
      <c r="B255" s="35"/>
      <c r="C255" s="35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</row>
    <row r="256">
      <c r="A256" s="35"/>
      <c r="B256" s="35"/>
      <c r="C256" s="35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</row>
    <row r="257">
      <c r="A257" s="35"/>
      <c r="B257" s="35"/>
      <c r="C257" s="35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</row>
    <row r="258">
      <c r="A258" s="35"/>
      <c r="B258" s="35"/>
      <c r="C258" s="35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</row>
    <row r="259">
      <c r="A259" s="35"/>
      <c r="B259" s="35"/>
      <c r="C259" s="35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</row>
    <row r="260">
      <c r="A260" s="35"/>
      <c r="B260" s="35"/>
      <c r="C260" s="35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</row>
    <row r="261">
      <c r="A261" s="35"/>
      <c r="B261" s="35"/>
      <c r="C261" s="35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</row>
    <row r="262">
      <c r="A262" s="35"/>
      <c r="B262" s="35"/>
      <c r="C262" s="35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</row>
    <row r="263">
      <c r="A263" s="35"/>
      <c r="B263" s="35"/>
      <c r="C263" s="35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</row>
    <row r="264">
      <c r="A264" s="35"/>
      <c r="B264" s="35"/>
      <c r="C264" s="35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</row>
    <row r="265">
      <c r="A265" s="35"/>
      <c r="B265" s="35"/>
      <c r="C265" s="35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</row>
    <row r="266">
      <c r="A266" s="35"/>
      <c r="B266" s="35"/>
      <c r="C266" s="35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</row>
    <row r="267">
      <c r="A267" s="35"/>
      <c r="B267" s="35"/>
      <c r="C267" s="35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</row>
    <row r="268">
      <c r="A268" s="35"/>
      <c r="B268" s="35"/>
      <c r="C268" s="35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</row>
    <row r="269">
      <c r="A269" s="35"/>
      <c r="B269" s="35"/>
      <c r="C269" s="35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</row>
    <row r="270">
      <c r="A270" s="35"/>
      <c r="B270" s="35"/>
      <c r="C270" s="35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</row>
    <row r="271">
      <c r="A271" s="35"/>
      <c r="B271" s="35"/>
      <c r="C271" s="35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</row>
    <row r="272">
      <c r="A272" s="35"/>
      <c r="B272" s="35"/>
      <c r="C272" s="35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</row>
    <row r="273">
      <c r="A273" s="35"/>
      <c r="B273" s="35"/>
      <c r="C273" s="35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</row>
    <row r="274">
      <c r="A274" s="35"/>
      <c r="B274" s="35"/>
      <c r="C274" s="35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</row>
    <row r="275">
      <c r="A275" s="35"/>
      <c r="B275" s="35"/>
      <c r="C275" s="35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</row>
    <row r="276">
      <c r="A276" s="35"/>
      <c r="B276" s="35"/>
      <c r="C276" s="35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</row>
    <row r="277">
      <c r="A277" s="35"/>
      <c r="B277" s="35"/>
      <c r="C277" s="35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</row>
    <row r="278">
      <c r="A278" s="35"/>
      <c r="B278" s="35"/>
      <c r="C278" s="35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</row>
    <row r="279">
      <c r="A279" s="35"/>
      <c r="B279" s="35"/>
      <c r="C279" s="35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</row>
    <row r="280">
      <c r="A280" s="35"/>
      <c r="B280" s="35"/>
      <c r="C280" s="35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</row>
    <row r="281">
      <c r="A281" s="35"/>
      <c r="B281" s="35"/>
      <c r="C281" s="35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</row>
    <row r="282">
      <c r="A282" s="35"/>
      <c r="B282" s="35"/>
      <c r="C282" s="35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</row>
    <row r="283">
      <c r="A283" s="35"/>
      <c r="B283" s="35"/>
      <c r="C283" s="35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</row>
    <row r="284">
      <c r="A284" s="35"/>
      <c r="B284" s="35"/>
      <c r="C284" s="35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</row>
    <row r="285">
      <c r="A285" s="35"/>
      <c r="B285" s="35"/>
      <c r="C285" s="35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</row>
    <row r="286">
      <c r="A286" s="35"/>
      <c r="B286" s="35"/>
      <c r="C286" s="35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</row>
    <row r="287">
      <c r="A287" s="35"/>
      <c r="B287" s="35"/>
      <c r="C287" s="35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</row>
    <row r="288">
      <c r="A288" s="35"/>
      <c r="B288" s="35"/>
      <c r="C288" s="35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</row>
    <row r="289">
      <c r="A289" s="35"/>
      <c r="B289" s="35"/>
      <c r="C289" s="35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</row>
    <row r="290">
      <c r="A290" s="35"/>
      <c r="B290" s="35"/>
      <c r="C290" s="35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</row>
    <row r="291">
      <c r="A291" s="35"/>
      <c r="B291" s="35"/>
      <c r="C291" s="35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</row>
    <row r="292">
      <c r="A292" s="35"/>
      <c r="B292" s="35"/>
      <c r="C292" s="35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</row>
    <row r="293">
      <c r="A293" s="35"/>
      <c r="B293" s="35"/>
      <c r="C293" s="35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</row>
    <row r="294">
      <c r="A294" s="35"/>
      <c r="B294" s="35"/>
      <c r="C294" s="35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</row>
    <row r="295">
      <c r="A295" s="35"/>
      <c r="B295" s="35"/>
      <c r="C295" s="35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</row>
    <row r="296">
      <c r="A296" s="35"/>
      <c r="B296" s="35"/>
      <c r="C296" s="35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</row>
    <row r="297">
      <c r="A297" s="35"/>
      <c r="B297" s="35"/>
      <c r="C297" s="35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</row>
    <row r="298">
      <c r="A298" s="35"/>
      <c r="B298" s="35"/>
      <c r="C298" s="35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</row>
    <row r="299">
      <c r="A299" s="35"/>
      <c r="B299" s="35"/>
      <c r="C299" s="35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</row>
    <row r="300">
      <c r="A300" s="35"/>
      <c r="B300" s="35"/>
      <c r="C300" s="35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</row>
    <row r="301">
      <c r="A301" s="35"/>
      <c r="B301" s="35"/>
      <c r="C301" s="35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</row>
    <row r="302">
      <c r="A302" s="35"/>
      <c r="B302" s="35"/>
      <c r="C302" s="35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</row>
    <row r="303">
      <c r="A303" s="35"/>
      <c r="B303" s="35"/>
      <c r="C303" s="35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</row>
    <row r="304">
      <c r="A304" s="35"/>
      <c r="B304" s="35"/>
      <c r="C304" s="35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</row>
    <row r="305">
      <c r="A305" s="35"/>
      <c r="B305" s="35"/>
      <c r="C305" s="35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</row>
    <row r="306">
      <c r="A306" s="35"/>
      <c r="B306" s="35"/>
      <c r="C306" s="35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</row>
    <row r="307">
      <c r="A307" s="35"/>
      <c r="B307" s="35"/>
      <c r="C307" s="35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</row>
    <row r="308">
      <c r="A308" s="35"/>
      <c r="B308" s="35"/>
      <c r="C308" s="35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</row>
    <row r="309">
      <c r="A309" s="35"/>
      <c r="B309" s="35"/>
      <c r="C309" s="35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</row>
    <row r="310">
      <c r="A310" s="35"/>
      <c r="B310" s="35"/>
      <c r="C310" s="35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</row>
    <row r="311">
      <c r="A311" s="35"/>
      <c r="B311" s="35"/>
      <c r="C311" s="35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</row>
    <row r="312">
      <c r="A312" s="35"/>
      <c r="B312" s="35"/>
      <c r="C312" s="35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</row>
    <row r="313">
      <c r="A313" s="35"/>
      <c r="B313" s="35"/>
      <c r="C313" s="35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</row>
    <row r="314">
      <c r="A314" s="35"/>
      <c r="B314" s="35"/>
      <c r="C314" s="35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</row>
    <row r="315">
      <c r="A315" s="35"/>
      <c r="B315" s="35"/>
      <c r="C315" s="35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</row>
    <row r="316">
      <c r="A316" s="35"/>
      <c r="B316" s="35"/>
      <c r="C316" s="35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</row>
    <row r="317">
      <c r="A317" s="35"/>
      <c r="B317" s="35"/>
      <c r="C317" s="35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</row>
    <row r="318">
      <c r="A318" s="35"/>
      <c r="B318" s="35"/>
      <c r="C318" s="35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</row>
    <row r="319">
      <c r="A319" s="35"/>
      <c r="B319" s="35"/>
      <c r="C319" s="35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</row>
    <row r="320">
      <c r="A320" s="35"/>
      <c r="B320" s="35"/>
      <c r="C320" s="35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</row>
    <row r="321">
      <c r="A321" s="35"/>
      <c r="B321" s="35"/>
      <c r="C321" s="35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</row>
    <row r="322">
      <c r="A322" s="35"/>
      <c r="B322" s="35"/>
      <c r="C322" s="35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</row>
    <row r="323">
      <c r="A323" s="35"/>
      <c r="B323" s="35"/>
      <c r="C323" s="35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</row>
    <row r="324">
      <c r="A324" s="35"/>
      <c r="B324" s="35"/>
      <c r="C324" s="35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</row>
    <row r="325">
      <c r="A325" s="35"/>
      <c r="B325" s="35"/>
      <c r="C325" s="35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</row>
    <row r="326">
      <c r="A326" s="35"/>
      <c r="B326" s="35"/>
      <c r="C326" s="35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</row>
    <row r="327">
      <c r="A327" s="35"/>
      <c r="B327" s="35"/>
      <c r="C327" s="35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</row>
    <row r="328">
      <c r="A328" s="35"/>
      <c r="B328" s="35"/>
      <c r="C328" s="35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</row>
    <row r="329">
      <c r="A329" s="35"/>
      <c r="B329" s="35"/>
      <c r="C329" s="35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</row>
    <row r="330">
      <c r="A330" s="35"/>
      <c r="B330" s="35"/>
      <c r="C330" s="35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</row>
    <row r="331">
      <c r="A331" s="35"/>
      <c r="B331" s="35"/>
      <c r="C331" s="35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</row>
    <row r="332">
      <c r="A332" s="35"/>
      <c r="B332" s="35"/>
      <c r="C332" s="35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</row>
    <row r="333">
      <c r="A333" s="35"/>
      <c r="B333" s="35"/>
      <c r="C333" s="35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</row>
    <row r="334">
      <c r="A334" s="35"/>
      <c r="B334" s="35"/>
      <c r="C334" s="35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</row>
    <row r="335">
      <c r="A335" s="35"/>
      <c r="B335" s="35"/>
      <c r="C335" s="35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</row>
    <row r="336">
      <c r="A336" s="35"/>
      <c r="B336" s="35"/>
      <c r="C336" s="35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</row>
    <row r="337">
      <c r="A337" s="35"/>
      <c r="B337" s="35"/>
      <c r="C337" s="35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</row>
    <row r="338">
      <c r="A338" s="35"/>
      <c r="B338" s="35"/>
      <c r="C338" s="35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</row>
    <row r="339">
      <c r="A339" s="35"/>
      <c r="B339" s="35"/>
      <c r="C339" s="35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</row>
    <row r="340">
      <c r="A340" s="35"/>
      <c r="B340" s="35"/>
      <c r="C340" s="35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</row>
    <row r="341">
      <c r="A341" s="35"/>
      <c r="B341" s="35"/>
      <c r="C341" s="35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</row>
    <row r="342">
      <c r="A342" s="35"/>
      <c r="B342" s="35"/>
      <c r="C342" s="35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</row>
    <row r="343">
      <c r="A343" s="35"/>
      <c r="B343" s="35"/>
      <c r="C343" s="35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</row>
    <row r="344">
      <c r="A344" s="35"/>
      <c r="B344" s="35"/>
      <c r="C344" s="35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</row>
    <row r="345">
      <c r="A345" s="35"/>
      <c r="B345" s="35"/>
      <c r="C345" s="35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</row>
    <row r="346">
      <c r="A346" s="35"/>
      <c r="B346" s="35"/>
      <c r="C346" s="35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</row>
    <row r="347">
      <c r="A347" s="35"/>
      <c r="B347" s="35"/>
      <c r="C347" s="35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</row>
    <row r="348">
      <c r="A348" s="35"/>
      <c r="B348" s="35"/>
      <c r="C348" s="35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</row>
    <row r="349">
      <c r="A349" s="35"/>
      <c r="B349" s="35"/>
      <c r="C349" s="35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</row>
    <row r="350">
      <c r="A350" s="35"/>
      <c r="B350" s="35"/>
      <c r="C350" s="35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</row>
    <row r="351">
      <c r="A351" s="35"/>
      <c r="B351" s="35"/>
      <c r="C351" s="35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</row>
    <row r="352">
      <c r="A352" s="35"/>
      <c r="B352" s="35"/>
      <c r="C352" s="35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</row>
    <row r="353">
      <c r="A353" s="35"/>
      <c r="B353" s="35"/>
      <c r="C353" s="35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</row>
    <row r="354">
      <c r="A354" s="35"/>
      <c r="B354" s="35"/>
      <c r="C354" s="35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</row>
    <row r="355">
      <c r="A355" s="35"/>
      <c r="B355" s="35"/>
      <c r="C355" s="35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</row>
    <row r="356">
      <c r="A356" s="35"/>
      <c r="B356" s="35"/>
      <c r="C356" s="35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</row>
    <row r="357">
      <c r="A357" s="35"/>
      <c r="B357" s="35"/>
      <c r="C357" s="35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</row>
    <row r="358">
      <c r="A358" s="35"/>
      <c r="B358" s="35"/>
      <c r="C358" s="35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</row>
    <row r="359">
      <c r="A359" s="35"/>
      <c r="B359" s="35"/>
      <c r="C359" s="35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</row>
    <row r="360">
      <c r="A360" s="35"/>
      <c r="B360" s="35"/>
      <c r="C360" s="35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</row>
    <row r="361">
      <c r="A361" s="35"/>
      <c r="B361" s="35"/>
      <c r="C361" s="35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</row>
    <row r="362">
      <c r="A362" s="35"/>
      <c r="B362" s="35"/>
      <c r="C362" s="35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</row>
    <row r="363">
      <c r="A363" s="35"/>
      <c r="B363" s="35"/>
      <c r="C363" s="35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</row>
    <row r="364">
      <c r="A364" s="35"/>
      <c r="B364" s="35"/>
      <c r="C364" s="35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</row>
    <row r="365">
      <c r="A365" s="35"/>
      <c r="B365" s="35"/>
      <c r="C365" s="35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</row>
    <row r="366">
      <c r="A366" s="35"/>
      <c r="B366" s="35"/>
      <c r="C366" s="35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</row>
    <row r="367">
      <c r="A367" s="35"/>
      <c r="B367" s="35"/>
      <c r="C367" s="35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</row>
    <row r="368">
      <c r="A368" s="35"/>
      <c r="B368" s="35"/>
      <c r="C368" s="35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</row>
    <row r="369">
      <c r="A369" s="35"/>
      <c r="B369" s="35"/>
      <c r="C369" s="35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</row>
    <row r="370">
      <c r="A370" s="35"/>
      <c r="B370" s="35"/>
      <c r="C370" s="35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</row>
    <row r="371">
      <c r="A371" s="35"/>
      <c r="B371" s="35"/>
      <c r="C371" s="35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</row>
    <row r="372">
      <c r="A372" s="35"/>
      <c r="B372" s="35"/>
      <c r="C372" s="35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</row>
    <row r="373">
      <c r="A373" s="35"/>
      <c r="B373" s="35"/>
      <c r="C373" s="35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</row>
    <row r="374">
      <c r="A374" s="35"/>
      <c r="B374" s="35"/>
      <c r="C374" s="35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</row>
    <row r="375">
      <c r="A375" s="35"/>
      <c r="B375" s="35"/>
      <c r="C375" s="35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</row>
    <row r="376">
      <c r="A376" s="35"/>
      <c r="B376" s="35"/>
      <c r="C376" s="35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</row>
    <row r="377">
      <c r="A377" s="35"/>
      <c r="B377" s="35"/>
      <c r="C377" s="35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</row>
    <row r="378">
      <c r="A378" s="35"/>
      <c r="B378" s="35"/>
      <c r="C378" s="35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</row>
    <row r="379">
      <c r="A379" s="35"/>
      <c r="B379" s="35"/>
      <c r="C379" s="35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</row>
    <row r="380">
      <c r="A380" s="35"/>
      <c r="B380" s="35"/>
      <c r="C380" s="35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</row>
    <row r="381">
      <c r="A381" s="35"/>
      <c r="B381" s="35"/>
      <c r="C381" s="35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</row>
    <row r="382">
      <c r="A382" s="35"/>
      <c r="B382" s="35"/>
      <c r="C382" s="35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</row>
    <row r="383">
      <c r="A383" s="35"/>
      <c r="B383" s="35"/>
      <c r="C383" s="35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</row>
    <row r="384">
      <c r="A384" s="35"/>
      <c r="B384" s="35"/>
      <c r="C384" s="35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</row>
    <row r="385">
      <c r="A385" s="35"/>
      <c r="B385" s="35"/>
      <c r="C385" s="35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</row>
    <row r="386">
      <c r="A386" s="35"/>
      <c r="B386" s="35"/>
      <c r="C386" s="35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</row>
    <row r="387">
      <c r="A387" s="35"/>
      <c r="B387" s="35"/>
      <c r="C387" s="35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</row>
    <row r="388">
      <c r="A388" s="35"/>
      <c r="B388" s="35"/>
      <c r="C388" s="35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</row>
    <row r="389">
      <c r="A389" s="35"/>
      <c r="B389" s="35"/>
      <c r="C389" s="35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</row>
    <row r="390">
      <c r="A390" s="35"/>
      <c r="B390" s="35"/>
      <c r="C390" s="35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</row>
    <row r="391">
      <c r="A391" s="35"/>
      <c r="B391" s="35"/>
      <c r="C391" s="35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</row>
    <row r="392">
      <c r="A392" s="35"/>
      <c r="B392" s="35"/>
      <c r="C392" s="35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</row>
    <row r="393">
      <c r="A393" s="35"/>
      <c r="B393" s="35"/>
      <c r="C393" s="35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</row>
    <row r="394">
      <c r="A394" s="35"/>
      <c r="B394" s="35"/>
      <c r="C394" s="35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</row>
    <row r="395">
      <c r="A395" s="35"/>
      <c r="B395" s="35"/>
      <c r="C395" s="35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</row>
    <row r="396">
      <c r="A396" s="35"/>
      <c r="B396" s="35"/>
      <c r="C396" s="35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</row>
    <row r="397">
      <c r="A397" s="35"/>
      <c r="B397" s="35"/>
      <c r="C397" s="35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</row>
    <row r="398">
      <c r="A398" s="35"/>
      <c r="B398" s="35"/>
      <c r="C398" s="35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</row>
    <row r="399">
      <c r="A399" s="35"/>
      <c r="B399" s="35"/>
      <c r="C399" s="35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</row>
    <row r="400">
      <c r="A400" s="35"/>
      <c r="B400" s="35"/>
      <c r="C400" s="35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</row>
    <row r="401">
      <c r="A401" s="35"/>
      <c r="B401" s="35"/>
      <c r="C401" s="35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</row>
    <row r="402">
      <c r="A402" s="35"/>
      <c r="B402" s="35"/>
      <c r="C402" s="35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</row>
    <row r="403">
      <c r="A403" s="35"/>
      <c r="B403" s="35"/>
      <c r="C403" s="35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</row>
    <row r="404">
      <c r="A404" s="35"/>
      <c r="B404" s="35"/>
      <c r="C404" s="35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</row>
    <row r="405">
      <c r="A405" s="35"/>
      <c r="B405" s="35"/>
      <c r="C405" s="35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</row>
    <row r="406">
      <c r="A406" s="35"/>
      <c r="B406" s="35"/>
      <c r="C406" s="35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</row>
    <row r="407">
      <c r="A407" s="35"/>
      <c r="B407" s="35"/>
      <c r="C407" s="35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</row>
    <row r="408">
      <c r="A408" s="35"/>
      <c r="B408" s="35"/>
      <c r="C408" s="35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</row>
    <row r="409">
      <c r="A409" s="35"/>
      <c r="B409" s="35"/>
      <c r="C409" s="35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</row>
    <row r="410">
      <c r="A410" s="35"/>
      <c r="B410" s="35"/>
      <c r="C410" s="35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</row>
    <row r="411">
      <c r="A411" s="35"/>
      <c r="B411" s="35"/>
      <c r="C411" s="35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</row>
    <row r="412">
      <c r="A412" s="35"/>
      <c r="B412" s="35"/>
      <c r="C412" s="35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</row>
    <row r="413">
      <c r="A413" s="35"/>
      <c r="B413" s="35"/>
      <c r="C413" s="35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</row>
    <row r="414">
      <c r="A414" s="35"/>
      <c r="B414" s="35"/>
      <c r="C414" s="35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</row>
    <row r="415">
      <c r="A415" s="35"/>
      <c r="B415" s="35"/>
      <c r="C415" s="35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</row>
    <row r="416">
      <c r="A416" s="35"/>
      <c r="B416" s="35"/>
      <c r="C416" s="35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</row>
    <row r="417">
      <c r="A417" s="35"/>
      <c r="B417" s="35"/>
      <c r="C417" s="35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</row>
    <row r="418">
      <c r="A418" s="35"/>
      <c r="B418" s="35"/>
      <c r="C418" s="35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</row>
    <row r="419">
      <c r="A419" s="35"/>
      <c r="B419" s="35"/>
      <c r="C419" s="35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</row>
    <row r="420">
      <c r="A420" s="35"/>
      <c r="B420" s="35"/>
      <c r="C420" s="35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</row>
    <row r="421">
      <c r="A421" s="35"/>
      <c r="B421" s="35"/>
      <c r="C421" s="35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</row>
    <row r="422">
      <c r="A422" s="35"/>
      <c r="B422" s="35"/>
      <c r="C422" s="35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</row>
    <row r="423">
      <c r="A423" s="35"/>
      <c r="B423" s="35"/>
      <c r="C423" s="35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</row>
    <row r="424">
      <c r="A424" s="35"/>
      <c r="B424" s="35"/>
      <c r="C424" s="35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</row>
    <row r="425">
      <c r="A425" s="35"/>
      <c r="B425" s="35"/>
      <c r="C425" s="35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</row>
    <row r="426">
      <c r="A426" s="35"/>
      <c r="B426" s="35"/>
      <c r="C426" s="35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</row>
    <row r="427">
      <c r="A427" s="35"/>
      <c r="B427" s="35"/>
      <c r="C427" s="35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</row>
    <row r="428">
      <c r="A428" s="35"/>
      <c r="B428" s="35"/>
      <c r="C428" s="35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</row>
    <row r="429">
      <c r="A429" s="35"/>
      <c r="B429" s="35"/>
      <c r="C429" s="35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</row>
    <row r="430">
      <c r="A430" s="35"/>
      <c r="B430" s="35"/>
      <c r="C430" s="35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</row>
    <row r="431">
      <c r="A431" s="35"/>
      <c r="B431" s="35"/>
      <c r="C431" s="35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</row>
    <row r="432">
      <c r="A432" s="35"/>
      <c r="B432" s="35"/>
      <c r="C432" s="35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</row>
    <row r="433">
      <c r="A433" s="35"/>
      <c r="B433" s="35"/>
      <c r="C433" s="35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</row>
    <row r="434">
      <c r="A434" s="35"/>
      <c r="B434" s="35"/>
      <c r="C434" s="35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</row>
    <row r="435">
      <c r="A435" s="35"/>
      <c r="B435" s="35"/>
      <c r="C435" s="35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</row>
    <row r="436">
      <c r="A436" s="35"/>
      <c r="B436" s="35"/>
      <c r="C436" s="35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</row>
    <row r="437">
      <c r="A437" s="35"/>
      <c r="B437" s="35"/>
      <c r="C437" s="35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</row>
    <row r="438">
      <c r="A438" s="35"/>
      <c r="B438" s="35"/>
      <c r="C438" s="35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</row>
    <row r="439">
      <c r="A439" s="35"/>
      <c r="B439" s="35"/>
      <c r="C439" s="35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</row>
    <row r="440">
      <c r="A440" s="35"/>
      <c r="B440" s="35"/>
      <c r="C440" s="35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</row>
    <row r="441">
      <c r="A441" s="35"/>
      <c r="B441" s="35"/>
      <c r="C441" s="35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</row>
    <row r="442">
      <c r="A442" s="35"/>
      <c r="B442" s="35"/>
      <c r="C442" s="35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</row>
    <row r="443">
      <c r="A443" s="35"/>
      <c r="B443" s="35"/>
      <c r="C443" s="35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</row>
    <row r="444">
      <c r="A444" s="35"/>
      <c r="B444" s="35"/>
      <c r="C444" s="35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</row>
    <row r="445">
      <c r="A445" s="35"/>
      <c r="B445" s="35"/>
      <c r="C445" s="35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</row>
    <row r="446">
      <c r="A446" s="35"/>
      <c r="B446" s="35"/>
      <c r="C446" s="35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</row>
    <row r="447">
      <c r="A447" s="35"/>
      <c r="B447" s="35"/>
      <c r="C447" s="35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</row>
    <row r="448">
      <c r="A448" s="35"/>
      <c r="B448" s="35"/>
      <c r="C448" s="35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</row>
    <row r="449">
      <c r="A449" s="35"/>
      <c r="B449" s="35"/>
      <c r="C449" s="35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</row>
    <row r="450">
      <c r="A450" s="35"/>
      <c r="B450" s="35"/>
      <c r="C450" s="35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</row>
    <row r="451">
      <c r="A451" s="35"/>
      <c r="B451" s="35"/>
      <c r="C451" s="35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</row>
    <row r="452">
      <c r="A452" s="35"/>
      <c r="B452" s="35"/>
      <c r="C452" s="35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</row>
    <row r="453">
      <c r="A453" s="35"/>
      <c r="B453" s="35"/>
      <c r="C453" s="35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</row>
    <row r="454">
      <c r="A454" s="35"/>
      <c r="B454" s="35"/>
      <c r="C454" s="35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</row>
    <row r="455">
      <c r="A455" s="35"/>
      <c r="B455" s="35"/>
      <c r="C455" s="35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</row>
    <row r="456">
      <c r="A456" s="35"/>
      <c r="B456" s="35"/>
      <c r="C456" s="35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</row>
    <row r="457">
      <c r="A457" s="35"/>
      <c r="B457" s="35"/>
      <c r="C457" s="35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</row>
    <row r="458">
      <c r="A458" s="35"/>
      <c r="B458" s="35"/>
      <c r="C458" s="35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</row>
    <row r="459">
      <c r="A459" s="35"/>
      <c r="B459" s="35"/>
      <c r="C459" s="35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</row>
    <row r="460">
      <c r="A460" s="35"/>
      <c r="B460" s="35"/>
      <c r="C460" s="35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</row>
    <row r="461">
      <c r="A461" s="35"/>
      <c r="B461" s="35"/>
      <c r="C461" s="35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</row>
    <row r="462">
      <c r="A462" s="35"/>
      <c r="B462" s="35"/>
      <c r="C462" s="35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</row>
    <row r="463">
      <c r="A463" s="35"/>
      <c r="B463" s="35"/>
      <c r="C463" s="35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</row>
    <row r="464">
      <c r="A464" s="35"/>
      <c r="B464" s="35"/>
      <c r="C464" s="35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</row>
    <row r="465">
      <c r="A465" s="35"/>
      <c r="B465" s="35"/>
      <c r="C465" s="35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</row>
    <row r="466">
      <c r="A466" s="35"/>
      <c r="B466" s="35"/>
      <c r="C466" s="35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</row>
    <row r="467">
      <c r="A467" s="35"/>
      <c r="B467" s="35"/>
      <c r="C467" s="35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</row>
    <row r="468">
      <c r="A468" s="35"/>
      <c r="B468" s="35"/>
      <c r="C468" s="35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</row>
    <row r="469">
      <c r="A469" s="35"/>
      <c r="B469" s="35"/>
      <c r="C469" s="35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</row>
    <row r="470">
      <c r="A470" s="35"/>
      <c r="B470" s="35"/>
      <c r="C470" s="35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</row>
    <row r="471">
      <c r="A471" s="35"/>
      <c r="B471" s="35"/>
      <c r="C471" s="35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</row>
    <row r="472">
      <c r="A472" s="35"/>
      <c r="B472" s="35"/>
      <c r="C472" s="35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</row>
    <row r="473">
      <c r="A473" s="35"/>
      <c r="B473" s="35"/>
      <c r="C473" s="35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</row>
    <row r="474">
      <c r="A474" s="35"/>
      <c r="B474" s="35"/>
      <c r="C474" s="35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</row>
    <row r="475">
      <c r="A475" s="35"/>
      <c r="B475" s="35"/>
      <c r="C475" s="35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</row>
    <row r="476">
      <c r="A476" s="35"/>
      <c r="B476" s="35"/>
      <c r="C476" s="35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</row>
    <row r="477">
      <c r="A477" s="35"/>
      <c r="B477" s="35"/>
      <c r="C477" s="35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</row>
    <row r="478">
      <c r="A478" s="35"/>
      <c r="B478" s="35"/>
      <c r="C478" s="35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</row>
    <row r="479">
      <c r="A479" s="35"/>
      <c r="B479" s="35"/>
      <c r="C479" s="35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</row>
    <row r="480">
      <c r="A480" s="35"/>
      <c r="B480" s="35"/>
      <c r="C480" s="35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</row>
    <row r="481">
      <c r="A481" s="35"/>
      <c r="B481" s="35"/>
      <c r="C481" s="35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</row>
    <row r="482">
      <c r="A482" s="35"/>
      <c r="B482" s="35"/>
      <c r="C482" s="35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</row>
    <row r="483">
      <c r="A483" s="35"/>
      <c r="B483" s="35"/>
      <c r="C483" s="35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</row>
    <row r="484">
      <c r="A484" s="35"/>
      <c r="B484" s="35"/>
      <c r="C484" s="35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</row>
    <row r="485">
      <c r="A485" s="35"/>
      <c r="B485" s="35"/>
      <c r="C485" s="35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</row>
    <row r="486">
      <c r="A486" s="35"/>
      <c r="B486" s="35"/>
      <c r="C486" s="35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</row>
    <row r="487">
      <c r="A487" s="35"/>
      <c r="B487" s="35"/>
      <c r="C487" s="35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</row>
    <row r="488">
      <c r="A488" s="35"/>
      <c r="B488" s="35"/>
      <c r="C488" s="35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</row>
    <row r="489">
      <c r="A489" s="35"/>
      <c r="B489" s="35"/>
      <c r="C489" s="35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</row>
    <row r="490">
      <c r="A490" s="35"/>
      <c r="B490" s="35"/>
      <c r="C490" s="35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</row>
    <row r="491">
      <c r="A491" s="35"/>
      <c r="B491" s="35"/>
      <c r="C491" s="35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</row>
    <row r="492">
      <c r="A492" s="35"/>
      <c r="B492" s="35"/>
      <c r="C492" s="35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</row>
    <row r="493">
      <c r="A493" s="35"/>
      <c r="B493" s="35"/>
      <c r="C493" s="35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</row>
    <row r="494">
      <c r="A494" s="35"/>
      <c r="B494" s="35"/>
      <c r="C494" s="35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</row>
    <row r="495">
      <c r="A495" s="35"/>
      <c r="B495" s="35"/>
      <c r="C495" s="35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</row>
    <row r="496">
      <c r="A496" s="35"/>
      <c r="B496" s="35"/>
      <c r="C496" s="35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</row>
    <row r="497">
      <c r="A497" s="35"/>
      <c r="B497" s="35"/>
      <c r="C497" s="35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</row>
    <row r="498">
      <c r="A498" s="35"/>
      <c r="B498" s="35"/>
      <c r="C498" s="35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</row>
    <row r="499">
      <c r="A499" s="35"/>
      <c r="B499" s="35"/>
      <c r="C499" s="35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</row>
    <row r="500">
      <c r="A500" s="35"/>
      <c r="B500" s="35"/>
      <c r="C500" s="35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</row>
    <row r="501">
      <c r="A501" s="35"/>
      <c r="B501" s="35"/>
      <c r="C501" s="35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</row>
    <row r="502">
      <c r="A502" s="35"/>
      <c r="B502" s="35"/>
      <c r="C502" s="35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</row>
    <row r="503">
      <c r="A503" s="35"/>
      <c r="B503" s="35"/>
      <c r="C503" s="35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</row>
    <row r="504">
      <c r="A504" s="35"/>
      <c r="B504" s="35"/>
      <c r="C504" s="35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</row>
    <row r="505">
      <c r="A505" s="35"/>
      <c r="B505" s="35"/>
      <c r="C505" s="35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</row>
    <row r="506">
      <c r="A506" s="35"/>
      <c r="B506" s="35"/>
      <c r="C506" s="35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</row>
    <row r="507">
      <c r="A507" s="35"/>
      <c r="B507" s="35"/>
      <c r="C507" s="35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</row>
    <row r="508">
      <c r="A508" s="35"/>
      <c r="B508" s="35"/>
      <c r="C508" s="35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</row>
    <row r="509">
      <c r="A509" s="35"/>
      <c r="B509" s="35"/>
      <c r="C509" s="35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</row>
    <row r="510">
      <c r="A510" s="35"/>
      <c r="B510" s="35"/>
      <c r="C510" s="35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</row>
    <row r="511">
      <c r="A511" s="35"/>
      <c r="B511" s="35"/>
      <c r="C511" s="35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</row>
    <row r="512">
      <c r="A512" s="35"/>
      <c r="B512" s="35"/>
      <c r="C512" s="35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</row>
    <row r="513">
      <c r="A513" s="35"/>
      <c r="B513" s="35"/>
      <c r="C513" s="35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</row>
    <row r="514">
      <c r="A514" s="35"/>
      <c r="B514" s="35"/>
      <c r="C514" s="35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</row>
    <row r="515">
      <c r="A515" s="35"/>
      <c r="B515" s="35"/>
      <c r="C515" s="35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</row>
    <row r="516">
      <c r="A516" s="35"/>
      <c r="B516" s="35"/>
      <c r="C516" s="35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</row>
    <row r="517">
      <c r="A517" s="35"/>
      <c r="B517" s="35"/>
      <c r="C517" s="35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</row>
    <row r="518">
      <c r="A518" s="35"/>
      <c r="B518" s="35"/>
      <c r="C518" s="35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</row>
    <row r="519">
      <c r="A519" s="35"/>
      <c r="B519" s="35"/>
      <c r="C519" s="35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</row>
    <row r="520">
      <c r="A520" s="35"/>
      <c r="B520" s="35"/>
      <c r="C520" s="35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</row>
    <row r="521">
      <c r="A521" s="35"/>
      <c r="B521" s="35"/>
      <c r="C521" s="35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</row>
    <row r="522">
      <c r="A522" s="35"/>
      <c r="B522" s="35"/>
      <c r="C522" s="35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</row>
    <row r="523">
      <c r="A523" s="35"/>
      <c r="B523" s="35"/>
      <c r="C523" s="35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</row>
    <row r="524">
      <c r="A524" s="35"/>
      <c r="B524" s="35"/>
      <c r="C524" s="35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</row>
    <row r="525">
      <c r="A525" s="35"/>
      <c r="B525" s="35"/>
      <c r="C525" s="35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</row>
    <row r="526">
      <c r="A526" s="35"/>
      <c r="B526" s="35"/>
      <c r="C526" s="35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</row>
    <row r="527">
      <c r="A527" s="35"/>
      <c r="B527" s="35"/>
      <c r="C527" s="35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</row>
    <row r="528">
      <c r="A528" s="35"/>
      <c r="B528" s="35"/>
      <c r="C528" s="35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</row>
    <row r="529">
      <c r="A529" s="35"/>
      <c r="B529" s="35"/>
      <c r="C529" s="35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</row>
    <row r="530">
      <c r="A530" s="35"/>
      <c r="B530" s="35"/>
      <c r="C530" s="35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</row>
    <row r="531">
      <c r="A531" s="35"/>
      <c r="B531" s="35"/>
      <c r="C531" s="35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</row>
    <row r="532">
      <c r="A532" s="35"/>
      <c r="B532" s="35"/>
      <c r="C532" s="35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</row>
    <row r="533">
      <c r="A533" s="35"/>
      <c r="B533" s="35"/>
      <c r="C533" s="35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</row>
    <row r="534">
      <c r="A534" s="35"/>
      <c r="B534" s="35"/>
      <c r="C534" s="35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</row>
    <row r="535">
      <c r="A535" s="35"/>
      <c r="B535" s="35"/>
      <c r="C535" s="35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</row>
    <row r="536">
      <c r="A536" s="35"/>
      <c r="B536" s="35"/>
      <c r="C536" s="35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</row>
    <row r="537">
      <c r="A537" s="35"/>
      <c r="B537" s="35"/>
      <c r="C537" s="35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</row>
    <row r="538">
      <c r="A538" s="35"/>
      <c r="B538" s="35"/>
      <c r="C538" s="35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</row>
    <row r="539">
      <c r="A539" s="35"/>
      <c r="B539" s="35"/>
      <c r="C539" s="35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</row>
    <row r="540">
      <c r="A540" s="35"/>
      <c r="B540" s="35"/>
      <c r="C540" s="35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</row>
    <row r="541">
      <c r="A541" s="35"/>
      <c r="B541" s="35"/>
      <c r="C541" s="35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</row>
    <row r="542">
      <c r="A542" s="35"/>
      <c r="B542" s="35"/>
      <c r="C542" s="35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</row>
    <row r="543">
      <c r="A543" s="35"/>
      <c r="B543" s="35"/>
      <c r="C543" s="35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</row>
    <row r="544">
      <c r="A544" s="35"/>
      <c r="B544" s="35"/>
      <c r="C544" s="35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</row>
    <row r="545">
      <c r="A545" s="35"/>
      <c r="B545" s="35"/>
      <c r="C545" s="35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</row>
    <row r="546">
      <c r="A546" s="35"/>
      <c r="B546" s="35"/>
      <c r="C546" s="35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</row>
    <row r="547">
      <c r="A547" s="35"/>
      <c r="B547" s="35"/>
      <c r="C547" s="35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</row>
    <row r="548">
      <c r="A548" s="35"/>
      <c r="B548" s="35"/>
      <c r="C548" s="35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</row>
    <row r="549">
      <c r="A549" s="35"/>
      <c r="B549" s="35"/>
      <c r="C549" s="35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</row>
    <row r="550">
      <c r="A550" s="35"/>
      <c r="B550" s="35"/>
      <c r="C550" s="35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</row>
    <row r="551">
      <c r="A551" s="35"/>
      <c r="B551" s="35"/>
      <c r="C551" s="35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</row>
    <row r="552">
      <c r="A552" s="35"/>
      <c r="B552" s="35"/>
      <c r="C552" s="35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</row>
    <row r="553">
      <c r="A553" s="35"/>
      <c r="B553" s="35"/>
      <c r="C553" s="35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</row>
    <row r="554">
      <c r="A554" s="35"/>
      <c r="B554" s="35"/>
      <c r="C554" s="35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</row>
    <row r="555">
      <c r="A555" s="35"/>
      <c r="B555" s="35"/>
      <c r="C555" s="35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</row>
    <row r="556">
      <c r="A556" s="35"/>
      <c r="B556" s="35"/>
      <c r="C556" s="35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</row>
    <row r="557">
      <c r="A557" s="35"/>
      <c r="B557" s="35"/>
      <c r="C557" s="35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</row>
    <row r="558">
      <c r="A558" s="35"/>
      <c r="B558" s="35"/>
      <c r="C558" s="35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</row>
    <row r="559">
      <c r="A559" s="35"/>
      <c r="B559" s="35"/>
      <c r="C559" s="35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</row>
    <row r="560">
      <c r="A560" s="35"/>
      <c r="B560" s="35"/>
      <c r="C560" s="35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</row>
    <row r="561">
      <c r="A561" s="35"/>
      <c r="B561" s="35"/>
      <c r="C561" s="35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</row>
    <row r="562">
      <c r="A562" s="35"/>
      <c r="B562" s="35"/>
      <c r="C562" s="35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</row>
    <row r="563">
      <c r="A563" s="35"/>
      <c r="B563" s="35"/>
      <c r="C563" s="35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</row>
    <row r="564">
      <c r="A564" s="35"/>
      <c r="B564" s="35"/>
      <c r="C564" s="35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</row>
    <row r="565">
      <c r="A565" s="35"/>
      <c r="B565" s="35"/>
      <c r="C565" s="35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</row>
    <row r="566">
      <c r="A566" s="35"/>
      <c r="B566" s="35"/>
      <c r="C566" s="35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</row>
    <row r="567">
      <c r="A567" s="35"/>
      <c r="B567" s="35"/>
      <c r="C567" s="35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</row>
    <row r="568">
      <c r="A568" s="35"/>
      <c r="B568" s="35"/>
      <c r="C568" s="35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</row>
    <row r="569">
      <c r="A569" s="35"/>
      <c r="B569" s="35"/>
      <c r="C569" s="35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</row>
    <row r="570">
      <c r="A570" s="35"/>
      <c r="B570" s="35"/>
      <c r="C570" s="35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</row>
    <row r="571">
      <c r="A571" s="35"/>
      <c r="B571" s="35"/>
      <c r="C571" s="35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</row>
    <row r="572">
      <c r="A572" s="35"/>
      <c r="B572" s="35"/>
      <c r="C572" s="35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</row>
    <row r="573">
      <c r="A573" s="35"/>
      <c r="B573" s="35"/>
      <c r="C573" s="35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</row>
    <row r="574">
      <c r="A574" s="35"/>
      <c r="B574" s="35"/>
      <c r="C574" s="35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</row>
    <row r="575">
      <c r="A575" s="35"/>
      <c r="B575" s="35"/>
      <c r="C575" s="35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</row>
    <row r="576">
      <c r="A576" s="35"/>
      <c r="B576" s="35"/>
      <c r="C576" s="35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</row>
    <row r="577">
      <c r="A577" s="35"/>
      <c r="B577" s="35"/>
      <c r="C577" s="35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</row>
    <row r="578">
      <c r="A578" s="35"/>
      <c r="B578" s="35"/>
      <c r="C578" s="35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</row>
    <row r="579">
      <c r="A579" s="35"/>
      <c r="B579" s="35"/>
      <c r="C579" s="35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</row>
    <row r="580">
      <c r="A580" s="35"/>
      <c r="B580" s="35"/>
      <c r="C580" s="35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</row>
    <row r="581">
      <c r="A581" s="35"/>
      <c r="B581" s="35"/>
      <c r="C581" s="35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</row>
    <row r="582">
      <c r="A582" s="35"/>
      <c r="B582" s="35"/>
      <c r="C582" s="35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</row>
    <row r="583">
      <c r="A583" s="35"/>
      <c r="B583" s="35"/>
      <c r="C583" s="35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</row>
    <row r="584">
      <c r="A584" s="35"/>
      <c r="B584" s="35"/>
      <c r="C584" s="35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</row>
    <row r="585">
      <c r="A585" s="35"/>
      <c r="B585" s="35"/>
      <c r="C585" s="35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</row>
    <row r="586">
      <c r="A586" s="35"/>
      <c r="B586" s="35"/>
      <c r="C586" s="35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</row>
    <row r="587">
      <c r="A587" s="35"/>
      <c r="B587" s="35"/>
      <c r="C587" s="35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</row>
    <row r="588">
      <c r="A588" s="35"/>
      <c r="B588" s="35"/>
      <c r="C588" s="35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</row>
    <row r="589">
      <c r="A589" s="35"/>
      <c r="B589" s="35"/>
      <c r="C589" s="35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</row>
    <row r="590">
      <c r="A590" s="35"/>
      <c r="B590" s="35"/>
      <c r="C590" s="35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</row>
    <row r="591">
      <c r="A591" s="35"/>
      <c r="B591" s="35"/>
      <c r="C591" s="35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</row>
    <row r="592">
      <c r="A592" s="35"/>
      <c r="B592" s="35"/>
      <c r="C592" s="35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</row>
    <row r="593">
      <c r="A593" s="35"/>
      <c r="B593" s="35"/>
      <c r="C593" s="35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</row>
    <row r="594">
      <c r="A594" s="35"/>
      <c r="B594" s="35"/>
      <c r="C594" s="35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</row>
    <row r="595">
      <c r="A595" s="35"/>
      <c r="B595" s="35"/>
      <c r="C595" s="35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</row>
    <row r="596">
      <c r="A596" s="35"/>
      <c r="B596" s="35"/>
      <c r="C596" s="35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</row>
    <row r="597">
      <c r="A597" s="35"/>
      <c r="B597" s="35"/>
      <c r="C597" s="35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</row>
    <row r="598">
      <c r="A598" s="35"/>
      <c r="B598" s="35"/>
      <c r="C598" s="35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</row>
    <row r="599">
      <c r="A599" s="35"/>
      <c r="B599" s="35"/>
      <c r="C599" s="35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</row>
    <row r="600">
      <c r="A600" s="35"/>
      <c r="B600" s="35"/>
      <c r="C600" s="35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</row>
    <row r="601">
      <c r="A601" s="35"/>
      <c r="B601" s="35"/>
      <c r="C601" s="35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</row>
    <row r="602">
      <c r="A602" s="35"/>
      <c r="B602" s="35"/>
      <c r="C602" s="35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</row>
    <row r="603">
      <c r="A603" s="35"/>
      <c r="B603" s="35"/>
      <c r="C603" s="35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</row>
    <row r="604">
      <c r="A604" s="35"/>
      <c r="B604" s="35"/>
      <c r="C604" s="35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</row>
    <row r="605">
      <c r="A605" s="35"/>
      <c r="B605" s="35"/>
      <c r="C605" s="35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</row>
    <row r="606">
      <c r="A606" s="35"/>
      <c r="B606" s="35"/>
      <c r="C606" s="35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</row>
    <row r="607">
      <c r="A607" s="35"/>
      <c r="B607" s="35"/>
      <c r="C607" s="35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</row>
    <row r="608">
      <c r="A608" s="35"/>
      <c r="B608" s="35"/>
      <c r="C608" s="35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</row>
    <row r="609">
      <c r="A609" s="35"/>
      <c r="B609" s="35"/>
      <c r="C609" s="35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</row>
    <row r="610">
      <c r="A610" s="35"/>
      <c r="B610" s="35"/>
      <c r="C610" s="35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</row>
    <row r="611">
      <c r="A611" s="35"/>
      <c r="B611" s="35"/>
      <c r="C611" s="35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</row>
    <row r="612">
      <c r="A612" s="35"/>
      <c r="B612" s="35"/>
      <c r="C612" s="35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</row>
    <row r="613">
      <c r="A613" s="35"/>
      <c r="B613" s="35"/>
      <c r="C613" s="35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</row>
    <row r="614">
      <c r="A614" s="35"/>
      <c r="B614" s="35"/>
      <c r="C614" s="35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</row>
    <row r="615">
      <c r="A615" s="35"/>
      <c r="B615" s="35"/>
      <c r="C615" s="35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</row>
    <row r="616">
      <c r="A616" s="35"/>
      <c r="B616" s="35"/>
      <c r="C616" s="35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</row>
    <row r="617">
      <c r="A617" s="35"/>
      <c r="B617" s="35"/>
      <c r="C617" s="35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</row>
    <row r="618">
      <c r="A618" s="35"/>
      <c r="B618" s="35"/>
      <c r="C618" s="35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</row>
    <row r="619">
      <c r="A619" s="35"/>
      <c r="B619" s="35"/>
      <c r="C619" s="35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</row>
    <row r="620">
      <c r="A620" s="35"/>
      <c r="B620" s="35"/>
      <c r="C620" s="35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</row>
    <row r="621">
      <c r="A621" s="35"/>
      <c r="B621" s="35"/>
      <c r="C621" s="35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</row>
    <row r="622">
      <c r="A622" s="35"/>
      <c r="B622" s="35"/>
      <c r="C622" s="35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</row>
    <row r="623">
      <c r="A623" s="35"/>
      <c r="B623" s="35"/>
      <c r="C623" s="35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</row>
    <row r="624">
      <c r="A624" s="35"/>
      <c r="B624" s="35"/>
      <c r="C624" s="35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</row>
    <row r="625">
      <c r="A625" s="35"/>
      <c r="B625" s="35"/>
      <c r="C625" s="35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</row>
    <row r="626">
      <c r="A626" s="35"/>
      <c r="B626" s="35"/>
      <c r="C626" s="35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</row>
    <row r="627">
      <c r="A627" s="35"/>
      <c r="B627" s="35"/>
      <c r="C627" s="35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</row>
    <row r="628">
      <c r="A628" s="35"/>
      <c r="B628" s="35"/>
      <c r="C628" s="35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</row>
    <row r="629">
      <c r="A629" s="35"/>
      <c r="B629" s="35"/>
      <c r="C629" s="35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</row>
    <row r="630">
      <c r="A630" s="35"/>
      <c r="B630" s="35"/>
      <c r="C630" s="35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</row>
    <row r="631">
      <c r="A631" s="35"/>
      <c r="B631" s="35"/>
      <c r="C631" s="35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</row>
    <row r="632">
      <c r="A632" s="35"/>
      <c r="B632" s="35"/>
      <c r="C632" s="35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</row>
    <row r="633">
      <c r="A633" s="35"/>
      <c r="B633" s="35"/>
      <c r="C633" s="35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</row>
    <row r="634">
      <c r="A634" s="35"/>
      <c r="B634" s="35"/>
      <c r="C634" s="35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</row>
    <row r="635">
      <c r="A635" s="35"/>
      <c r="B635" s="35"/>
      <c r="C635" s="35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</row>
    <row r="636">
      <c r="A636" s="35"/>
      <c r="B636" s="35"/>
      <c r="C636" s="35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</row>
    <row r="637">
      <c r="A637" s="35"/>
      <c r="B637" s="35"/>
      <c r="C637" s="35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</row>
    <row r="638">
      <c r="A638" s="35"/>
      <c r="B638" s="35"/>
      <c r="C638" s="35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</row>
    <row r="639">
      <c r="A639" s="35"/>
      <c r="B639" s="35"/>
      <c r="C639" s="35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</row>
    <row r="640">
      <c r="A640" s="35"/>
      <c r="B640" s="35"/>
      <c r="C640" s="35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</row>
    <row r="641">
      <c r="A641" s="35"/>
      <c r="B641" s="35"/>
      <c r="C641" s="35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</row>
    <row r="642">
      <c r="A642" s="35"/>
      <c r="B642" s="35"/>
      <c r="C642" s="35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</row>
    <row r="643">
      <c r="A643" s="35"/>
      <c r="B643" s="35"/>
      <c r="C643" s="35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</row>
    <row r="644">
      <c r="A644" s="35"/>
      <c r="B644" s="35"/>
      <c r="C644" s="35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</row>
    <row r="645">
      <c r="A645" s="35"/>
      <c r="B645" s="35"/>
      <c r="C645" s="35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</row>
    <row r="646">
      <c r="A646" s="35"/>
      <c r="B646" s="35"/>
      <c r="C646" s="35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</row>
    <row r="647">
      <c r="A647" s="35"/>
      <c r="B647" s="35"/>
      <c r="C647" s="35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</row>
    <row r="648">
      <c r="A648" s="35"/>
      <c r="B648" s="35"/>
      <c r="C648" s="35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</row>
    <row r="649">
      <c r="A649" s="35"/>
      <c r="B649" s="35"/>
      <c r="C649" s="35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</row>
    <row r="650">
      <c r="A650" s="35"/>
      <c r="B650" s="35"/>
      <c r="C650" s="35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</row>
    <row r="651">
      <c r="A651" s="35"/>
      <c r="B651" s="35"/>
      <c r="C651" s="35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</row>
    <row r="652">
      <c r="A652" s="35"/>
      <c r="B652" s="35"/>
      <c r="C652" s="35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</row>
    <row r="653">
      <c r="A653" s="35"/>
      <c r="B653" s="35"/>
      <c r="C653" s="35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</row>
    <row r="654">
      <c r="A654" s="35"/>
      <c r="B654" s="35"/>
      <c r="C654" s="35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</row>
    <row r="655">
      <c r="A655" s="35"/>
      <c r="B655" s="35"/>
      <c r="C655" s="35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</row>
    <row r="656">
      <c r="A656" s="35"/>
      <c r="B656" s="35"/>
      <c r="C656" s="35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</row>
    <row r="657">
      <c r="A657" s="35"/>
      <c r="B657" s="35"/>
      <c r="C657" s="35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</row>
    <row r="658">
      <c r="A658" s="35"/>
      <c r="B658" s="35"/>
      <c r="C658" s="35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</row>
    <row r="659">
      <c r="A659" s="35"/>
      <c r="B659" s="35"/>
      <c r="C659" s="35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</row>
    <row r="660">
      <c r="A660" s="35"/>
      <c r="B660" s="35"/>
      <c r="C660" s="35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</row>
    <row r="661">
      <c r="A661" s="35"/>
      <c r="B661" s="35"/>
      <c r="C661" s="35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</row>
    <row r="662">
      <c r="A662" s="35"/>
      <c r="B662" s="35"/>
      <c r="C662" s="35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</row>
    <row r="663">
      <c r="A663" s="35"/>
      <c r="B663" s="35"/>
      <c r="C663" s="35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</row>
    <row r="664">
      <c r="A664" s="35"/>
      <c r="B664" s="35"/>
      <c r="C664" s="35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</row>
    <row r="665">
      <c r="A665" s="35"/>
      <c r="B665" s="35"/>
      <c r="C665" s="35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</row>
    <row r="666">
      <c r="A666" s="35"/>
      <c r="B666" s="35"/>
      <c r="C666" s="35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</row>
    <row r="667">
      <c r="A667" s="35"/>
      <c r="B667" s="35"/>
      <c r="C667" s="35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</row>
    <row r="668">
      <c r="A668" s="35"/>
      <c r="B668" s="35"/>
      <c r="C668" s="35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</row>
    <row r="669">
      <c r="A669" s="35"/>
      <c r="B669" s="35"/>
      <c r="C669" s="35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</row>
    <row r="670">
      <c r="A670" s="35"/>
      <c r="B670" s="35"/>
      <c r="C670" s="35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</row>
    <row r="671">
      <c r="A671" s="35"/>
      <c r="B671" s="35"/>
      <c r="C671" s="35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</row>
    <row r="672">
      <c r="A672" s="35"/>
      <c r="B672" s="35"/>
      <c r="C672" s="35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</row>
    <row r="673">
      <c r="A673" s="35"/>
      <c r="B673" s="35"/>
      <c r="C673" s="35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</row>
    <row r="674">
      <c r="A674" s="35"/>
      <c r="B674" s="35"/>
      <c r="C674" s="35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</row>
    <row r="675">
      <c r="A675" s="35"/>
      <c r="B675" s="35"/>
      <c r="C675" s="35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</row>
    <row r="676">
      <c r="A676" s="35"/>
      <c r="B676" s="35"/>
      <c r="C676" s="35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</row>
    <row r="677">
      <c r="A677" s="35"/>
      <c r="B677" s="35"/>
      <c r="C677" s="35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</row>
    <row r="678">
      <c r="A678" s="35"/>
      <c r="B678" s="35"/>
      <c r="C678" s="35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</row>
    <row r="679">
      <c r="A679" s="35"/>
      <c r="B679" s="35"/>
      <c r="C679" s="35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</row>
    <row r="680">
      <c r="A680" s="35"/>
      <c r="B680" s="35"/>
      <c r="C680" s="35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</row>
    <row r="681">
      <c r="A681" s="35"/>
      <c r="B681" s="35"/>
      <c r="C681" s="35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</row>
    <row r="682">
      <c r="A682" s="35"/>
      <c r="B682" s="35"/>
      <c r="C682" s="35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</row>
    <row r="683">
      <c r="A683" s="35"/>
      <c r="B683" s="35"/>
      <c r="C683" s="35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</row>
    <row r="684">
      <c r="A684" s="35"/>
      <c r="B684" s="35"/>
      <c r="C684" s="35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</row>
    <row r="685">
      <c r="A685" s="35"/>
      <c r="B685" s="35"/>
      <c r="C685" s="35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</row>
    <row r="686">
      <c r="A686" s="35"/>
      <c r="B686" s="35"/>
      <c r="C686" s="35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</row>
    <row r="687">
      <c r="A687" s="35"/>
      <c r="B687" s="35"/>
      <c r="C687" s="35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</row>
    <row r="688">
      <c r="A688" s="35"/>
      <c r="B688" s="35"/>
      <c r="C688" s="35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</row>
    <row r="689">
      <c r="A689" s="35"/>
      <c r="B689" s="35"/>
      <c r="C689" s="35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</row>
    <row r="690">
      <c r="A690" s="35"/>
      <c r="B690" s="35"/>
      <c r="C690" s="35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</row>
    <row r="691">
      <c r="A691" s="35"/>
      <c r="B691" s="35"/>
      <c r="C691" s="35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</row>
    <row r="692">
      <c r="A692" s="35"/>
      <c r="B692" s="35"/>
      <c r="C692" s="35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</row>
    <row r="693">
      <c r="A693" s="35"/>
      <c r="B693" s="35"/>
      <c r="C693" s="35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</row>
    <row r="694">
      <c r="A694" s="35"/>
      <c r="B694" s="35"/>
      <c r="C694" s="35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</row>
    <row r="695">
      <c r="A695" s="35"/>
      <c r="B695" s="35"/>
      <c r="C695" s="35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</row>
    <row r="696">
      <c r="A696" s="35"/>
      <c r="B696" s="35"/>
      <c r="C696" s="35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</row>
    <row r="697">
      <c r="A697" s="35"/>
      <c r="B697" s="35"/>
      <c r="C697" s="35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</row>
    <row r="698">
      <c r="A698" s="35"/>
      <c r="B698" s="35"/>
      <c r="C698" s="35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</row>
    <row r="699">
      <c r="A699" s="35"/>
      <c r="B699" s="35"/>
      <c r="C699" s="35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</row>
    <row r="700">
      <c r="A700" s="35"/>
      <c r="B700" s="35"/>
      <c r="C700" s="35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</row>
    <row r="701">
      <c r="A701" s="35"/>
      <c r="B701" s="35"/>
      <c r="C701" s="35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</row>
    <row r="702">
      <c r="A702" s="35"/>
      <c r="B702" s="35"/>
      <c r="C702" s="35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</row>
    <row r="703">
      <c r="A703" s="35"/>
      <c r="B703" s="35"/>
      <c r="C703" s="35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</row>
    <row r="704">
      <c r="A704" s="35"/>
      <c r="B704" s="35"/>
      <c r="C704" s="35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</row>
    <row r="705">
      <c r="A705" s="35"/>
      <c r="B705" s="35"/>
      <c r="C705" s="35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</row>
    <row r="706">
      <c r="A706" s="35"/>
      <c r="B706" s="35"/>
      <c r="C706" s="35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</row>
    <row r="707">
      <c r="A707" s="35"/>
      <c r="B707" s="35"/>
      <c r="C707" s="35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</row>
    <row r="708">
      <c r="A708" s="35"/>
      <c r="B708" s="35"/>
      <c r="C708" s="35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</row>
    <row r="709">
      <c r="A709" s="35"/>
      <c r="B709" s="35"/>
      <c r="C709" s="35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</row>
    <row r="710">
      <c r="A710" s="35"/>
      <c r="B710" s="35"/>
      <c r="C710" s="35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</row>
    <row r="711">
      <c r="A711" s="35"/>
      <c r="B711" s="35"/>
      <c r="C711" s="35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</row>
    <row r="712">
      <c r="A712" s="35"/>
      <c r="B712" s="35"/>
      <c r="C712" s="35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</row>
    <row r="713">
      <c r="A713" s="35"/>
      <c r="B713" s="35"/>
      <c r="C713" s="35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</row>
    <row r="714">
      <c r="A714" s="35"/>
      <c r="B714" s="35"/>
      <c r="C714" s="35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</row>
    <row r="715">
      <c r="A715" s="35"/>
      <c r="B715" s="35"/>
      <c r="C715" s="35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</row>
    <row r="716">
      <c r="A716" s="35"/>
      <c r="B716" s="35"/>
      <c r="C716" s="35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</row>
    <row r="717">
      <c r="A717" s="35"/>
      <c r="B717" s="35"/>
      <c r="C717" s="35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</row>
    <row r="718">
      <c r="A718" s="35"/>
      <c r="B718" s="35"/>
      <c r="C718" s="35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</row>
    <row r="719">
      <c r="A719" s="35"/>
      <c r="B719" s="35"/>
      <c r="C719" s="35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</row>
    <row r="720">
      <c r="A720" s="35"/>
      <c r="B720" s="35"/>
      <c r="C720" s="35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</row>
    <row r="721">
      <c r="A721" s="35"/>
      <c r="B721" s="35"/>
      <c r="C721" s="35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</row>
    <row r="722">
      <c r="A722" s="35"/>
      <c r="B722" s="35"/>
      <c r="C722" s="35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</row>
    <row r="723">
      <c r="A723" s="35"/>
      <c r="B723" s="35"/>
      <c r="C723" s="35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</row>
    <row r="724">
      <c r="A724" s="35"/>
      <c r="B724" s="35"/>
      <c r="C724" s="35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</row>
    <row r="725">
      <c r="A725" s="35"/>
      <c r="B725" s="35"/>
      <c r="C725" s="35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</row>
    <row r="726">
      <c r="A726" s="35"/>
      <c r="B726" s="35"/>
      <c r="C726" s="35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</row>
    <row r="727">
      <c r="A727" s="35"/>
      <c r="B727" s="35"/>
      <c r="C727" s="35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</row>
    <row r="728">
      <c r="A728" s="35"/>
      <c r="B728" s="35"/>
      <c r="C728" s="35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</row>
    <row r="729">
      <c r="A729" s="35"/>
      <c r="B729" s="35"/>
      <c r="C729" s="35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</row>
    <row r="730">
      <c r="A730" s="35"/>
      <c r="B730" s="35"/>
      <c r="C730" s="35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</row>
    <row r="731">
      <c r="A731" s="35"/>
      <c r="B731" s="35"/>
      <c r="C731" s="35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</row>
    <row r="732">
      <c r="A732" s="35"/>
      <c r="B732" s="35"/>
      <c r="C732" s="35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</row>
    <row r="733">
      <c r="A733" s="35"/>
      <c r="B733" s="35"/>
      <c r="C733" s="35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</row>
    <row r="734">
      <c r="A734" s="35"/>
      <c r="B734" s="35"/>
      <c r="C734" s="35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</row>
    <row r="735">
      <c r="A735" s="35"/>
      <c r="B735" s="35"/>
      <c r="C735" s="35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</row>
    <row r="736">
      <c r="A736" s="35"/>
      <c r="B736" s="35"/>
      <c r="C736" s="35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</row>
    <row r="737">
      <c r="A737" s="35"/>
      <c r="B737" s="35"/>
      <c r="C737" s="35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</row>
    <row r="738">
      <c r="A738" s="35"/>
      <c r="B738" s="35"/>
      <c r="C738" s="35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</row>
    <row r="739">
      <c r="A739" s="35"/>
      <c r="B739" s="35"/>
      <c r="C739" s="35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</row>
    <row r="740">
      <c r="A740" s="35"/>
      <c r="B740" s="35"/>
      <c r="C740" s="35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</row>
    <row r="741">
      <c r="A741" s="35"/>
      <c r="B741" s="35"/>
      <c r="C741" s="35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</row>
    <row r="742">
      <c r="A742" s="35"/>
      <c r="B742" s="35"/>
      <c r="C742" s="35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</row>
    <row r="743">
      <c r="A743" s="35"/>
      <c r="B743" s="35"/>
      <c r="C743" s="35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</row>
    <row r="744">
      <c r="A744" s="35"/>
      <c r="B744" s="35"/>
      <c r="C744" s="35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</row>
    <row r="745">
      <c r="A745" s="35"/>
      <c r="B745" s="35"/>
      <c r="C745" s="35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</row>
    <row r="746">
      <c r="A746" s="35"/>
      <c r="B746" s="35"/>
      <c r="C746" s="35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</row>
    <row r="747">
      <c r="A747" s="35"/>
      <c r="B747" s="35"/>
      <c r="C747" s="35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</row>
    <row r="748">
      <c r="A748" s="35"/>
      <c r="B748" s="35"/>
      <c r="C748" s="35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</row>
    <row r="749">
      <c r="A749" s="35"/>
      <c r="B749" s="35"/>
      <c r="C749" s="35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</row>
    <row r="750">
      <c r="A750" s="35"/>
      <c r="B750" s="35"/>
      <c r="C750" s="35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</row>
    <row r="751">
      <c r="A751" s="35"/>
      <c r="B751" s="35"/>
      <c r="C751" s="35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</row>
    <row r="752">
      <c r="A752" s="35"/>
      <c r="B752" s="35"/>
      <c r="C752" s="35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</row>
    <row r="753">
      <c r="A753" s="35"/>
      <c r="B753" s="35"/>
      <c r="C753" s="35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</row>
    <row r="754">
      <c r="A754" s="35"/>
      <c r="B754" s="35"/>
      <c r="C754" s="35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</row>
    <row r="755">
      <c r="A755" s="35"/>
      <c r="B755" s="35"/>
      <c r="C755" s="35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</row>
    <row r="756">
      <c r="A756" s="35"/>
      <c r="B756" s="35"/>
      <c r="C756" s="35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</row>
    <row r="757">
      <c r="A757" s="35"/>
      <c r="B757" s="35"/>
      <c r="C757" s="35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</row>
    <row r="758">
      <c r="A758" s="35"/>
      <c r="B758" s="35"/>
      <c r="C758" s="35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</row>
    <row r="759">
      <c r="A759" s="35"/>
      <c r="B759" s="35"/>
      <c r="C759" s="35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</row>
    <row r="760">
      <c r="A760" s="35"/>
      <c r="B760" s="35"/>
      <c r="C760" s="35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</row>
    <row r="761">
      <c r="A761" s="35"/>
      <c r="B761" s="35"/>
      <c r="C761" s="35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</row>
    <row r="762">
      <c r="A762" s="35"/>
      <c r="B762" s="35"/>
      <c r="C762" s="35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</row>
    <row r="763">
      <c r="A763" s="35"/>
      <c r="B763" s="35"/>
      <c r="C763" s="35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</row>
    <row r="764">
      <c r="A764" s="35"/>
      <c r="B764" s="35"/>
      <c r="C764" s="35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</row>
    <row r="765">
      <c r="A765" s="35"/>
      <c r="B765" s="35"/>
      <c r="C765" s="35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</row>
    <row r="766">
      <c r="A766" s="35"/>
      <c r="B766" s="35"/>
      <c r="C766" s="35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</row>
    <row r="767">
      <c r="A767" s="35"/>
      <c r="B767" s="35"/>
      <c r="C767" s="35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</row>
    <row r="768">
      <c r="A768" s="35"/>
      <c r="B768" s="35"/>
      <c r="C768" s="35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</row>
    <row r="769">
      <c r="A769" s="35"/>
      <c r="B769" s="35"/>
      <c r="C769" s="35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</row>
    <row r="770">
      <c r="A770" s="35"/>
      <c r="B770" s="35"/>
      <c r="C770" s="35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</row>
    <row r="771">
      <c r="A771" s="35"/>
      <c r="B771" s="35"/>
      <c r="C771" s="35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</row>
    <row r="772">
      <c r="A772" s="35"/>
      <c r="B772" s="35"/>
      <c r="C772" s="35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</row>
    <row r="773">
      <c r="A773" s="35"/>
      <c r="B773" s="35"/>
      <c r="C773" s="35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</row>
    <row r="774">
      <c r="A774" s="35"/>
      <c r="B774" s="35"/>
      <c r="C774" s="35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</row>
    <row r="775">
      <c r="A775" s="35"/>
      <c r="B775" s="35"/>
      <c r="C775" s="35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</row>
    <row r="776">
      <c r="A776" s="35"/>
      <c r="B776" s="35"/>
      <c r="C776" s="35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</row>
    <row r="777">
      <c r="A777" s="35"/>
      <c r="B777" s="35"/>
      <c r="C777" s="35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</row>
    <row r="778">
      <c r="A778" s="35"/>
      <c r="B778" s="35"/>
      <c r="C778" s="35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</row>
    <row r="779">
      <c r="A779" s="35"/>
      <c r="B779" s="35"/>
      <c r="C779" s="35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</row>
    <row r="780">
      <c r="A780" s="35"/>
      <c r="B780" s="35"/>
      <c r="C780" s="35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</row>
    <row r="781">
      <c r="A781" s="35"/>
      <c r="B781" s="35"/>
      <c r="C781" s="35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</row>
    <row r="782">
      <c r="A782" s="35"/>
      <c r="B782" s="35"/>
      <c r="C782" s="35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</row>
    <row r="783">
      <c r="A783" s="35"/>
      <c r="B783" s="35"/>
      <c r="C783" s="35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</row>
    <row r="784">
      <c r="A784" s="35"/>
      <c r="B784" s="35"/>
      <c r="C784" s="35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</row>
    <row r="785">
      <c r="A785" s="35"/>
      <c r="B785" s="35"/>
      <c r="C785" s="35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</row>
    <row r="786">
      <c r="A786" s="35"/>
      <c r="B786" s="35"/>
      <c r="C786" s="35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</row>
    <row r="787">
      <c r="A787" s="35"/>
      <c r="B787" s="35"/>
      <c r="C787" s="35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</row>
    <row r="788">
      <c r="A788" s="35"/>
      <c r="B788" s="35"/>
      <c r="C788" s="35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</row>
    <row r="789">
      <c r="A789" s="35"/>
      <c r="B789" s="35"/>
      <c r="C789" s="35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</row>
    <row r="790">
      <c r="A790" s="35"/>
      <c r="B790" s="35"/>
      <c r="C790" s="35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</row>
    <row r="791">
      <c r="A791" s="35"/>
      <c r="B791" s="35"/>
      <c r="C791" s="35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</row>
    <row r="792">
      <c r="A792" s="35"/>
      <c r="B792" s="35"/>
      <c r="C792" s="35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</row>
    <row r="793">
      <c r="A793" s="35"/>
      <c r="B793" s="35"/>
      <c r="C793" s="35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</row>
    <row r="794">
      <c r="A794" s="35"/>
      <c r="B794" s="35"/>
      <c r="C794" s="35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</row>
    <row r="795">
      <c r="A795" s="35"/>
      <c r="B795" s="35"/>
      <c r="C795" s="35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</row>
    <row r="796">
      <c r="A796" s="35"/>
      <c r="B796" s="35"/>
      <c r="C796" s="35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</row>
    <row r="797">
      <c r="A797" s="35"/>
      <c r="B797" s="35"/>
      <c r="C797" s="35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</row>
    <row r="798">
      <c r="A798" s="35"/>
      <c r="B798" s="35"/>
      <c r="C798" s="35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</row>
    <row r="799">
      <c r="A799" s="35"/>
      <c r="B799" s="35"/>
      <c r="C799" s="35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</row>
    <row r="800">
      <c r="A800" s="35"/>
      <c r="B800" s="35"/>
      <c r="C800" s="35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</row>
    <row r="801">
      <c r="A801" s="35"/>
      <c r="B801" s="35"/>
      <c r="C801" s="35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</row>
    <row r="802">
      <c r="A802" s="35"/>
      <c r="B802" s="35"/>
      <c r="C802" s="35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</row>
    <row r="803">
      <c r="A803" s="35"/>
      <c r="B803" s="35"/>
      <c r="C803" s="35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</row>
    <row r="804">
      <c r="A804" s="35"/>
      <c r="B804" s="35"/>
      <c r="C804" s="35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</row>
    <row r="805">
      <c r="A805" s="35"/>
      <c r="B805" s="35"/>
      <c r="C805" s="35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</row>
    <row r="806">
      <c r="A806" s="35"/>
      <c r="B806" s="35"/>
      <c r="C806" s="35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</row>
    <row r="807">
      <c r="A807" s="35"/>
      <c r="B807" s="35"/>
      <c r="C807" s="35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</row>
    <row r="808">
      <c r="A808" s="35"/>
      <c r="B808" s="35"/>
      <c r="C808" s="35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</row>
    <row r="809">
      <c r="A809" s="35"/>
      <c r="B809" s="35"/>
      <c r="C809" s="35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</row>
    <row r="810">
      <c r="A810" s="35"/>
      <c r="B810" s="35"/>
      <c r="C810" s="35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</row>
    <row r="811">
      <c r="A811" s="35"/>
      <c r="B811" s="35"/>
      <c r="C811" s="35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</row>
    <row r="812">
      <c r="A812" s="35"/>
      <c r="B812" s="35"/>
      <c r="C812" s="35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</row>
    <row r="813">
      <c r="A813" s="35"/>
      <c r="B813" s="35"/>
      <c r="C813" s="35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</row>
    <row r="814">
      <c r="A814" s="35"/>
      <c r="B814" s="35"/>
      <c r="C814" s="35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</row>
    <row r="815">
      <c r="A815" s="35"/>
      <c r="B815" s="35"/>
      <c r="C815" s="35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</row>
    <row r="816">
      <c r="A816" s="35"/>
      <c r="B816" s="35"/>
      <c r="C816" s="35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</row>
    <row r="817">
      <c r="A817" s="35"/>
      <c r="B817" s="35"/>
      <c r="C817" s="35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</row>
    <row r="818">
      <c r="A818" s="35"/>
      <c r="B818" s="35"/>
      <c r="C818" s="35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</row>
    <row r="819">
      <c r="A819" s="35"/>
      <c r="B819" s="35"/>
      <c r="C819" s="35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</row>
    <row r="820">
      <c r="A820" s="35"/>
      <c r="B820" s="35"/>
      <c r="C820" s="35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</row>
    <row r="821">
      <c r="A821" s="35"/>
      <c r="B821" s="35"/>
      <c r="C821" s="35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</row>
    <row r="822">
      <c r="A822" s="35"/>
      <c r="B822" s="35"/>
      <c r="C822" s="35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</row>
    <row r="823">
      <c r="A823" s="35"/>
      <c r="B823" s="35"/>
      <c r="C823" s="35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</row>
    <row r="824">
      <c r="A824" s="35"/>
      <c r="B824" s="35"/>
      <c r="C824" s="35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</row>
    <row r="825">
      <c r="A825" s="35"/>
      <c r="B825" s="35"/>
      <c r="C825" s="35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</row>
    <row r="826">
      <c r="A826" s="35"/>
      <c r="B826" s="35"/>
      <c r="C826" s="35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</row>
    <row r="827">
      <c r="A827" s="35"/>
      <c r="B827" s="35"/>
      <c r="C827" s="35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</row>
    <row r="828">
      <c r="A828" s="35"/>
      <c r="B828" s="35"/>
      <c r="C828" s="35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</row>
    <row r="829">
      <c r="A829" s="35"/>
      <c r="B829" s="35"/>
      <c r="C829" s="35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</row>
    <row r="830">
      <c r="A830" s="35"/>
      <c r="B830" s="35"/>
      <c r="C830" s="35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</row>
    <row r="831">
      <c r="A831" s="35"/>
      <c r="B831" s="35"/>
      <c r="C831" s="35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</row>
    <row r="832">
      <c r="A832" s="35"/>
      <c r="B832" s="35"/>
      <c r="C832" s="35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</row>
    <row r="833">
      <c r="A833" s="35"/>
      <c r="B833" s="35"/>
      <c r="C833" s="35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</row>
    <row r="834">
      <c r="A834" s="35"/>
      <c r="B834" s="35"/>
      <c r="C834" s="35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</row>
    <row r="835">
      <c r="A835" s="35"/>
      <c r="B835" s="35"/>
      <c r="C835" s="35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</row>
    <row r="836">
      <c r="A836" s="35"/>
      <c r="B836" s="35"/>
      <c r="C836" s="35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</row>
    <row r="837">
      <c r="A837" s="35"/>
      <c r="B837" s="35"/>
      <c r="C837" s="35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</row>
    <row r="838">
      <c r="A838" s="35"/>
      <c r="B838" s="35"/>
      <c r="C838" s="35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</row>
    <row r="839">
      <c r="A839" s="35"/>
      <c r="B839" s="35"/>
      <c r="C839" s="35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</row>
    <row r="840">
      <c r="A840" s="35"/>
      <c r="B840" s="35"/>
      <c r="C840" s="35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</row>
    <row r="841">
      <c r="A841" s="35"/>
      <c r="B841" s="35"/>
      <c r="C841" s="35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</row>
    <row r="842">
      <c r="A842" s="35"/>
      <c r="B842" s="35"/>
      <c r="C842" s="35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</row>
    <row r="843">
      <c r="A843" s="35"/>
      <c r="B843" s="35"/>
      <c r="C843" s="35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</row>
    <row r="844">
      <c r="A844" s="35"/>
      <c r="B844" s="35"/>
      <c r="C844" s="35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</row>
    <row r="845">
      <c r="A845" s="35"/>
      <c r="B845" s="35"/>
      <c r="C845" s="35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</row>
    <row r="846">
      <c r="A846" s="35"/>
      <c r="B846" s="35"/>
      <c r="C846" s="35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</row>
    <row r="847">
      <c r="A847" s="35"/>
      <c r="B847" s="35"/>
      <c r="C847" s="35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</row>
    <row r="848">
      <c r="A848" s="35"/>
      <c r="B848" s="35"/>
      <c r="C848" s="35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</row>
    <row r="849">
      <c r="A849" s="35"/>
      <c r="B849" s="35"/>
      <c r="C849" s="35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</row>
    <row r="850">
      <c r="A850" s="35"/>
      <c r="B850" s="35"/>
      <c r="C850" s="35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</row>
    <row r="851">
      <c r="A851" s="35"/>
      <c r="B851" s="35"/>
      <c r="C851" s="35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</row>
    <row r="852">
      <c r="A852" s="35"/>
      <c r="B852" s="35"/>
      <c r="C852" s="35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</row>
    <row r="853">
      <c r="A853" s="35"/>
      <c r="B853" s="35"/>
      <c r="C853" s="35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</row>
    <row r="854">
      <c r="A854" s="35"/>
      <c r="B854" s="35"/>
      <c r="C854" s="35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</row>
    <row r="855">
      <c r="A855" s="35"/>
      <c r="B855" s="35"/>
      <c r="C855" s="35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</row>
    <row r="856">
      <c r="A856" s="35"/>
      <c r="B856" s="35"/>
      <c r="C856" s="35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</row>
    <row r="857">
      <c r="A857" s="35"/>
      <c r="B857" s="35"/>
      <c r="C857" s="35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</row>
    <row r="858">
      <c r="A858" s="35"/>
      <c r="B858" s="35"/>
      <c r="C858" s="35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</row>
    <row r="859">
      <c r="A859" s="35"/>
      <c r="B859" s="35"/>
      <c r="C859" s="35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</row>
    <row r="860">
      <c r="A860" s="35"/>
      <c r="B860" s="35"/>
      <c r="C860" s="35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</row>
    <row r="861">
      <c r="A861" s="35"/>
      <c r="B861" s="35"/>
      <c r="C861" s="35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</row>
    <row r="862">
      <c r="A862" s="35"/>
      <c r="B862" s="35"/>
      <c r="C862" s="35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</row>
    <row r="863">
      <c r="A863" s="35"/>
      <c r="B863" s="35"/>
      <c r="C863" s="35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</row>
    <row r="864">
      <c r="A864" s="35"/>
      <c r="B864" s="35"/>
      <c r="C864" s="35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</row>
    <row r="865">
      <c r="A865" s="35"/>
      <c r="B865" s="35"/>
      <c r="C865" s="35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</row>
    <row r="866">
      <c r="A866" s="35"/>
      <c r="B866" s="35"/>
      <c r="C866" s="35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</row>
    <row r="867">
      <c r="A867" s="35"/>
      <c r="B867" s="35"/>
      <c r="C867" s="35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</row>
    <row r="868">
      <c r="A868" s="35"/>
      <c r="B868" s="35"/>
      <c r="C868" s="35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</row>
    <row r="869">
      <c r="A869" s="35"/>
      <c r="B869" s="35"/>
      <c r="C869" s="35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</row>
    <row r="870">
      <c r="A870" s="35"/>
      <c r="B870" s="35"/>
      <c r="C870" s="35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</row>
    <row r="871">
      <c r="A871" s="35"/>
      <c r="B871" s="35"/>
      <c r="C871" s="35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</row>
    <row r="872">
      <c r="A872" s="35"/>
      <c r="B872" s="35"/>
      <c r="C872" s="35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</row>
    <row r="873">
      <c r="A873" s="35"/>
      <c r="B873" s="35"/>
      <c r="C873" s="35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</row>
    <row r="874">
      <c r="A874" s="35"/>
      <c r="B874" s="35"/>
      <c r="C874" s="35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</row>
    <row r="875">
      <c r="A875" s="35"/>
      <c r="B875" s="35"/>
      <c r="C875" s="35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</row>
    <row r="876">
      <c r="A876" s="35"/>
      <c r="B876" s="35"/>
      <c r="C876" s="35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</row>
    <row r="877">
      <c r="A877" s="35"/>
      <c r="B877" s="35"/>
      <c r="C877" s="35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</row>
    <row r="878">
      <c r="A878" s="35"/>
      <c r="B878" s="35"/>
      <c r="C878" s="35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</row>
    <row r="879">
      <c r="A879" s="35"/>
      <c r="B879" s="35"/>
      <c r="C879" s="35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</row>
    <row r="880">
      <c r="A880" s="35"/>
      <c r="B880" s="35"/>
      <c r="C880" s="35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</row>
    <row r="881">
      <c r="A881" s="35"/>
      <c r="B881" s="35"/>
      <c r="C881" s="35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</row>
    <row r="882">
      <c r="A882" s="35"/>
      <c r="B882" s="35"/>
      <c r="C882" s="35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</row>
    <row r="883">
      <c r="A883" s="35"/>
      <c r="B883" s="35"/>
      <c r="C883" s="35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</row>
    <row r="884">
      <c r="A884" s="35"/>
      <c r="B884" s="35"/>
      <c r="C884" s="35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</row>
    <row r="885">
      <c r="A885" s="35"/>
      <c r="B885" s="35"/>
      <c r="C885" s="35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</row>
    <row r="886">
      <c r="A886" s="35"/>
      <c r="B886" s="35"/>
      <c r="C886" s="35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</row>
    <row r="887">
      <c r="A887" s="35"/>
      <c r="B887" s="35"/>
      <c r="C887" s="35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</row>
    <row r="888">
      <c r="A888" s="35"/>
      <c r="B888" s="35"/>
      <c r="C888" s="35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</row>
    <row r="889">
      <c r="A889" s="35"/>
      <c r="B889" s="35"/>
      <c r="C889" s="35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</row>
    <row r="890">
      <c r="A890" s="35"/>
      <c r="B890" s="35"/>
      <c r="C890" s="35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</row>
    <row r="891">
      <c r="A891" s="35"/>
      <c r="B891" s="35"/>
      <c r="C891" s="35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</row>
    <row r="892">
      <c r="A892" s="35"/>
      <c r="B892" s="35"/>
      <c r="C892" s="35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</row>
    <row r="893">
      <c r="A893" s="35"/>
      <c r="B893" s="35"/>
      <c r="C893" s="35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</row>
    <row r="894">
      <c r="A894" s="35"/>
      <c r="B894" s="35"/>
      <c r="C894" s="35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</row>
    <row r="895">
      <c r="A895" s="35"/>
      <c r="B895" s="35"/>
      <c r="C895" s="35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</row>
    <row r="896">
      <c r="A896" s="35"/>
      <c r="B896" s="35"/>
      <c r="C896" s="35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</row>
    <row r="897">
      <c r="A897" s="35"/>
      <c r="B897" s="35"/>
      <c r="C897" s="35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</row>
    <row r="898">
      <c r="A898" s="35"/>
      <c r="B898" s="35"/>
      <c r="C898" s="35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</row>
    <row r="899">
      <c r="A899" s="35"/>
      <c r="B899" s="35"/>
      <c r="C899" s="35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</row>
    <row r="900">
      <c r="A900" s="35"/>
      <c r="B900" s="35"/>
      <c r="C900" s="35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</row>
    <row r="901">
      <c r="A901" s="35"/>
      <c r="B901" s="35"/>
      <c r="C901" s="35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</row>
    <row r="902">
      <c r="A902" s="35"/>
      <c r="B902" s="35"/>
      <c r="C902" s="35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</row>
    <row r="903">
      <c r="A903" s="35"/>
      <c r="B903" s="35"/>
      <c r="C903" s="35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</row>
    <row r="904">
      <c r="A904" s="35"/>
      <c r="B904" s="35"/>
      <c r="C904" s="35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</row>
    <row r="905">
      <c r="A905" s="35"/>
      <c r="B905" s="35"/>
      <c r="C905" s="35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</row>
    <row r="906">
      <c r="A906" s="35"/>
      <c r="B906" s="35"/>
      <c r="C906" s="35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</row>
    <row r="907">
      <c r="A907" s="35"/>
      <c r="B907" s="35"/>
      <c r="C907" s="35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</row>
    <row r="908">
      <c r="A908" s="35"/>
      <c r="B908" s="35"/>
      <c r="C908" s="35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</row>
    <row r="909">
      <c r="A909" s="35"/>
      <c r="B909" s="35"/>
      <c r="C909" s="35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</row>
    <row r="910">
      <c r="A910" s="35"/>
      <c r="B910" s="35"/>
      <c r="C910" s="35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</row>
    <row r="911">
      <c r="A911" s="35"/>
      <c r="B911" s="35"/>
      <c r="C911" s="35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</row>
    <row r="912">
      <c r="A912" s="35"/>
      <c r="B912" s="35"/>
      <c r="C912" s="35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</row>
    <row r="913">
      <c r="A913" s="35"/>
      <c r="B913" s="35"/>
      <c r="C913" s="35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</row>
    <row r="914">
      <c r="A914" s="35"/>
      <c r="B914" s="35"/>
      <c r="C914" s="35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</row>
    <row r="915">
      <c r="A915" s="35"/>
      <c r="B915" s="35"/>
      <c r="C915" s="35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</row>
    <row r="916">
      <c r="A916" s="35"/>
      <c r="B916" s="35"/>
      <c r="C916" s="35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</row>
    <row r="917">
      <c r="A917" s="35"/>
      <c r="B917" s="35"/>
      <c r="C917" s="35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</row>
    <row r="918">
      <c r="A918" s="35"/>
      <c r="B918" s="35"/>
      <c r="C918" s="35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</row>
    <row r="919">
      <c r="A919" s="35"/>
      <c r="B919" s="35"/>
      <c r="C919" s="35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</row>
    <row r="920">
      <c r="A920" s="35"/>
      <c r="B920" s="35"/>
      <c r="C920" s="35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</row>
    <row r="921">
      <c r="A921" s="35"/>
      <c r="B921" s="35"/>
      <c r="C921" s="35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</row>
    <row r="922">
      <c r="A922" s="35"/>
      <c r="B922" s="35"/>
      <c r="C922" s="35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</row>
    <row r="923">
      <c r="A923" s="35"/>
      <c r="B923" s="35"/>
      <c r="C923" s="35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</row>
    <row r="924">
      <c r="A924" s="35"/>
      <c r="B924" s="35"/>
      <c r="C924" s="35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</row>
    <row r="925">
      <c r="A925" s="35"/>
      <c r="B925" s="35"/>
      <c r="C925" s="35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</row>
    <row r="926">
      <c r="A926" s="35"/>
      <c r="B926" s="35"/>
      <c r="C926" s="35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</row>
    <row r="927">
      <c r="A927" s="35"/>
      <c r="B927" s="35"/>
      <c r="C927" s="35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</row>
    <row r="928">
      <c r="A928" s="35"/>
      <c r="B928" s="35"/>
      <c r="C928" s="35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</row>
    <row r="929">
      <c r="A929" s="35"/>
      <c r="B929" s="35"/>
      <c r="C929" s="35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</row>
    <row r="930">
      <c r="A930" s="35"/>
      <c r="B930" s="35"/>
      <c r="C930" s="35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</row>
    <row r="931">
      <c r="A931" s="35"/>
      <c r="B931" s="35"/>
      <c r="C931" s="35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</row>
    <row r="932">
      <c r="A932" s="35"/>
      <c r="B932" s="35"/>
      <c r="C932" s="35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</row>
    <row r="933">
      <c r="A933" s="35"/>
      <c r="B933" s="35"/>
      <c r="C933" s="35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</row>
    <row r="934">
      <c r="A934" s="35"/>
      <c r="B934" s="35"/>
      <c r="C934" s="35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</row>
    <row r="935">
      <c r="A935" s="35"/>
      <c r="B935" s="35"/>
      <c r="C935" s="35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</row>
    <row r="936">
      <c r="A936" s="35"/>
      <c r="B936" s="35"/>
      <c r="C936" s="35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</row>
    <row r="937">
      <c r="A937" s="35"/>
      <c r="B937" s="35"/>
      <c r="C937" s="35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</row>
    <row r="938">
      <c r="A938" s="35"/>
      <c r="B938" s="35"/>
      <c r="C938" s="35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</row>
    <row r="939">
      <c r="A939" s="35"/>
      <c r="B939" s="35"/>
      <c r="C939" s="35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</row>
    <row r="940">
      <c r="A940" s="35"/>
      <c r="B940" s="35"/>
      <c r="C940" s="35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</row>
    <row r="941">
      <c r="A941" s="35"/>
      <c r="B941" s="35"/>
      <c r="C941" s="35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</row>
    <row r="942">
      <c r="A942" s="35"/>
      <c r="B942" s="35"/>
      <c r="C942" s="35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</row>
    <row r="943">
      <c r="A943" s="35"/>
      <c r="B943" s="35"/>
      <c r="C943" s="35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</row>
    <row r="944">
      <c r="A944" s="35"/>
      <c r="B944" s="35"/>
      <c r="C944" s="35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</row>
    <row r="945">
      <c r="A945" s="35"/>
      <c r="B945" s="35"/>
      <c r="C945" s="35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</row>
    <row r="946">
      <c r="A946" s="35"/>
      <c r="B946" s="35"/>
      <c r="C946" s="35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</row>
    <row r="947">
      <c r="A947" s="35"/>
      <c r="B947" s="35"/>
      <c r="C947" s="35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</row>
    <row r="948">
      <c r="A948" s="35"/>
      <c r="B948" s="35"/>
      <c r="C948" s="35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</row>
    <row r="949">
      <c r="A949" s="35"/>
      <c r="B949" s="35"/>
      <c r="C949" s="35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</row>
    <row r="950">
      <c r="A950" s="35"/>
      <c r="B950" s="35"/>
      <c r="C950" s="35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</row>
    <row r="951">
      <c r="A951" s="35"/>
      <c r="B951" s="35"/>
      <c r="C951" s="35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</row>
    <row r="952">
      <c r="A952" s="35"/>
      <c r="B952" s="35"/>
      <c r="C952" s="35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</row>
    <row r="953">
      <c r="A953" s="35"/>
      <c r="B953" s="35"/>
      <c r="C953" s="35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</row>
    <row r="954">
      <c r="A954" s="35"/>
      <c r="B954" s="35"/>
      <c r="C954" s="35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</row>
    <row r="955">
      <c r="A955" s="35"/>
      <c r="B955" s="35"/>
      <c r="C955" s="35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</row>
    <row r="956">
      <c r="A956" s="35"/>
      <c r="B956" s="35"/>
      <c r="C956" s="35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</row>
    <row r="957">
      <c r="A957" s="35"/>
      <c r="B957" s="35"/>
      <c r="C957" s="35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</row>
    <row r="958">
      <c r="A958" s="35"/>
      <c r="B958" s="35"/>
      <c r="C958" s="35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</row>
    <row r="959">
      <c r="A959" s="35"/>
      <c r="B959" s="35"/>
      <c r="C959" s="35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</row>
    <row r="960">
      <c r="A960" s="35"/>
      <c r="B960" s="35"/>
      <c r="C960" s="35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</row>
    <row r="961">
      <c r="A961" s="35"/>
      <c r="B961" s="35"/>
      <c r="C961" s="35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</row>
    <row r="962">
      <c r="A962" s="35"/>
      <c r="B962" s="35"/>
      <c r="C962" s="35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</row>
    <row r="963">
      <c r="A963" s="35"/>
      <c r="B963" s="35"/>
      <c r="C963" s="35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</row>
    <row r="964">
      <c r="A964" s="35"/>
      <c r="B964" s="35"/>
      <c r="C964" s="35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</row>
    <row r="965">
      <c r="A965" s="35"/>
      <c r="B965" s="35"/>
      <c r="C965" s="35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</row>
    <row r="966">
      <c r="A966" s="35"/>
      <c r="B966" s="35"/>
      <c r="C966" s="35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</row>
    <row r="967">
      <c r="A967" s="35"/>
      <c r="B967" s="35"/>
      <c r="C967" s="35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</row>
    <row r="968">
      <c r="A968" s="35"/>
      <c r="B968" s="35"/>
      <c r="C968" s="35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</row>
    <row r="969">
      <c r="A969" s="35"/>
      <c r="B969" s="35"/>
      <c r="C969" s="35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</row>
    <row r="970">
      <c r="A970" s="35"/>
      <c r="B970" s="35"/>
      <c r="C970" s="35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</row>
    <row r="971">
      <c r="A971" s="35"/>
      <c r="B971" s="35"/>
      <c r="C971" s="35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</row>
  </sheetData>
  <mergeCells count="24">
    <mergeCell ref="K5:K6"/>
    <mergeCell ref="L5:L6"/>
    <mergeCell ref="M5:M6"/>
    <mergeCell ref="N5:N6"/>
    <mergeCell ref="B1:O4"/>
    <mergeCell ref="A5:A6"/>
    <mergeCell ref="B5:B6"/>
    <mergeCell ref="C5:C6"/>
    <mergeCell ref="D5:D6"/>
    <mergeCell ref="J5:J6"/>
    <mergeCell ref="O5:O6"/>
    <mergeCell ref="J30:J31"/>
    <mergeCell ref="K30:K31"/>
    <mergeCell ref="L30:L31"/>
    <mergeCell ref="M30:M31"/>
    <mergeCell ref="N30:N31"/>
    <mergeCell ref="O30:O31"/>
    <mergeCell ref="E5:I5"/>
    <mergeCell ref="B26:O29"/>
    <mergeCell ref="A30:A31"/>
    <mergeCell ref="B30:B31"/>
    <mergeCell ref="C30:C31"/>
    <mergeCell ref="D30:D31"/>
    <mergeCell ref="E30:I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5.13"/>
    <col customWidth="1" min="3" max="3" width="22.88"/>
    <col customWidth="1" min="4" max="5" width="15.13"/>
    <col customWidth="1" min="13" max="13" width="13.63"/>
    <col customWidth="1" min="16" max="16" width="24.0"/>
  </cols>
  <sheetData>
    <row r="1" ht="14.25" customHeight="1">
      <c r="A1" s="1" t="s">
        <v>0</v>
      </c>
      <c r="B1" s="42" t="s">
        <v>50</v>
      </c>
    </row>
    <row r="2" ht="11.25" customHeight="1">
      <c r="A2" s="3"/>
    </row>
    <row r="3">
      <c r="A3" s="3"/>
    </row>
    <row r="4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>
      <c r="A5" s="5" t="s">
        <v>2</v>
      </c>
      <c r="B5" s="5" t="s">
        <v>3</v>
      </c>
      <c r="C5" s="5" t="s">
        <v>4</v>
      </c>
      <c r="D5" s="6" t="s">
        <v>5</v>
      </c>
      <c r="E5" s="7" t="s">
        <v>6</v>
      </c>
      <c r="F5" s="4"/>
      <c r="G5" s="4"/>
      <c r="H5" s="4"/>
      <c r="I5" s="8"/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12</v>
      </c>
    </row>
    <row r="6">
      <c r="A6" s="8"/>
      <c r="B6" s="8"/>
      <c r="C6" s="8"/>
      <c r="D6" s="8"/>
      <c r="E6" s="9" t="s">
        <v>13</v>
      </c>
      <c r="F6" s="9" t="s">
        <v>14</v>
      </c>
      <c r="G6" s="9" t="s">
        <v>15</v>
      </c>
      <c r="H6" s="9" t="s">
        <v>16</v>
      </c>
      <c r="I6" s="9" t="s">
        <v>17</v>
      </c>
      <c r="J6" s="8"/>
      <c r="K6" s="8"/>
      <c r="L6" s="8"/>
      <c r="M6" s="8"/>
      <c r="N6" s="8"/>
      <c r="O6" s="8"/>
    </row>
    <row r="7">
      <c r="A7" s="10">
        <v>95.0</v>
      </c>
      <c r="B7" s="11" t="s">
        <v>18</v>
      </c>
      <c r="C7" s="11" t="s">
        <v>19</v>
      </c>
      <c r="D7" s="12">
        <v>8.97E8</v>
      </c>
      <c r="E7" s="12">
        <v>2.3459619411E8</v>
      </c>
      <c r="F7" s="12">
        <v>2.2028325358E8</v>
      </c>
      <c r="G7" s="12">
        <v>2.368111584E8</v>
      </c>
      <c r="H7" s="13">
        <v>1.8862999463E8</v>
      </c>
      <c r="I7" s="13"/>
      <c r="J7" s="14">
        <f t="shared" ref="J7:J9" si="1">SUM(E7:I7)</f>
        <v>880320600.7</v>
      </c>
      <c r="K7" s="15">
        <f t="shared" ref="K7:K9" si="2">J7/D7</f>
        <v>0.981405352</v>
      </c>
      <c r="L7" s="16">
        <f t="shared" ref="L7:L9" si="3">J7/O7*N7</f>
        <v>880320600.7</v>
      </c>
      <c r="M7" s="17">
        <f t="shared" ref="M7:M9" si="4">L7/D7</f>
        <v>0.981405352</v>
      </c>
      <c r="N7" s="18">
        <v>23.0</v>
      </c>
      <c r="O7" s="19">
        <v>23.0</v>
      </c>
      <c r="P7" s="20" t="s">
        <v>51</v>
      </c>
    </row>
    <row r="8">
      <c r="A8" s="10">
        <v>6.0</v>
      </c>
      <c r="B8" s="11" t="s">
        <v>21</v>
      </c>
      <c r="C8" s="11" t="s">
        <v>19</v>
      </c>
      <c r="D8" s="12">
        <v>6.6E7</v>
      </c>
      <c r="E8" s="12">
        <v>1.282587354E7</v>
      </c>
      <c r="F8" s="12">
        <v>1.143742519E7</v>
      </c>
      <c r="G8" s="12">
        <v>8913230.14</v>
      </c>
      <c r="H8" s="13">
        <v>6991314.02</v>
      </c>
      <c r="I8" s="12"/>
      <c r="J8" s="14">
        <f t="shared" si="1"/>
        <v>40167842.89</v>
      </c>
      <c r="K8" s="15">
        <f t="shared" si="2"/>
        <v>0.6086036802</v>
      </c>
      <c r="L8" s="16">
        <f t="shared" si="3"/>
        <v>40167842.89</v>
      </c>
      <c r="M8" s="17">
        <f t="shared" si="4"/>
        <v>0.6086036802</v>
      </c>
      <c r="N8" s="18">
        <v>23.0</v>
      </c>
      <c r="O8" s="19">
        <v>23.0</v>
      </c>
      <c r="P8" s="20" t="s">
        <v>51</v>
      </c>
    </row>
    <row r="9">
      <c r="A9" s="10">
        <v>64.0</v>
      </c>
      <c r="B9" s="10" t="s">
        <v>22</v>
      </c>
      <c r="C9" s="11" t="s">
        <v>19</v>
      </c>
      <c r="D9" s="12">
        <v>5.0E8</v>
      </c>
      <c r="E9" s="12">
        <v>9.1649E7</v>
      </c>
      <c r="F9" s="12">
        <v>9.8696E7</v>
      </c>
      <c r="G9" s="12">
        <v>9.68675E7</v>
      </c>
      <c r="H9" s="12">
        <v>5.6251E7</v>
      </c>
      <c r="I9" s="12"/>
      <c r="J9" s="14">
        <f t="shared" si="1"/>
        <v>343463500</v>
      </c>
      <c r="K9" s="15">
        <f t="shared" si="2"/>
        <v>0.686927</v>
      </c>
      <c r="L9" s="16">
        <f t="shared" si="3"/>
        <v>343463500</v>
      </c>
      <c r="M9" s="17">
        <f t="shared" si="4"/>
        <v>0.686927</v>
      </c>
      <c r="N9" s="18">
        <v>24.0</v>
      </c>
      <c r="O9" s="19">
        <v>24.0</v>
      </c>
      <c r="P9" s="20" t="s">
        <v>52</v>
      </c>
    </row>
    <row r="10">
      <c r="A10" s="10">
        <v>2.0</v>
      </c>
      <c r="B10" s="10" t="s">
        <v>24</v>
      </c>
      <c r="C10" s="10" t="s">
        <v>53</v>
      </c>
      <c r="D10" s="21">
        <v>1.0</v>
      </c>
      <c r="E10" s="21">
        <v>1.82</v>
      </c>
      <c r="F10" s="21">
        <v>1.82</v>
      </c>
      <c r="G10" s="21">
        <v>1.82</v>
      </c>
      <c r="H10" s="21">
        <v>1.82</v>
      </c>
      <c r="I10" s="13"/>
      <c r="J10" s="57">
        <f t="shared" ref="J10:J11" si="6">H10</f>
        <v>1.82</v>
      </c>
      <c r="K10" s="15">
        <f t="shared" ref="K10:L10" si="5">J10</f>
        <v>1.82</v>
      </c>
      <c r="L10" s="58">
        <f t="shared" si="5"/>
        <v>1.82</v>
      </c>
      <c r="M10" s="43">
        <f>K10</f>
        <v>1.82</v>
      </c>
      <c r="N10" s="18">
        <v>20.0</v>
      </c>
      <c r="O10" s="19">
        <v>20.0</v>
      </c>
      <c r="P10" s="20" t="s">
        <v>52</v>
      </c>
    </row>
    <row r="11">
      <c r="A11" s="10">
        <v>10.0</v>
      </c>
      <c r="B11" s="10" t="s">
        <v>25</v>
      </c>
      <c r="C11" s="11" t="s">
        <v>26</v>
      </c>
      <c r="D11" s="21">
        <v>0.8</v>
      </c>
      <c r="E11" s="23">
        <v>0.5938</v>
      </c>
      <c r="F11" s="23">
        <v>0.409</v>
      </c>
      <c r="G11" s="21">
        <v>0.4951</v>
      </c>
      <c r="H11" s="24">
        <v>0.93</v>
      </c>
      <c r="I11" s="24"/>
      <c r="J11" s="57">
        <f t="shared" si="6"/>
        <v>0.93</v>
      </c>
      <c r="K11" s="15">
        <f t="shared" ref="K11:K24" si="7">J11/D11</f>
        <v>1.1625</v>
      </c>
      <c r="L11" s="58">
        <f>K11</f>
        <v>1.1625</v>
      </c>
      <c r="M11" s="28">
        <f>J11</f>
        <v>0.93</v>
      </c>
      <c r="N11" s="18">
        <v>20.0</v>
      </c>
      <c r="O11" s="19">
        <v>20.0</v>
      </c>
      <c r="P11" s="20" t="s">
        <v>52</v>
      </c>
    </row>
    <row r="12">
      <c r="A12" s="10">
        <v>26.0</v>
      </c>
      <c r="B12" s="10" t="s">
        <v>27</v>
      </c>
      <c r="C12" s="11" t="s">
        <v>19</v>
      </c>
      <c r="D12" s="19">
        <v>1557.0</v>
      </c>
      <c r="E12" s="18">
        <v>158.0</v>
      </c>
      <c r="F12" s="18">
        <v>159.0</v>
      </c>
      <c r="G12" s="18">
        <v>228.0</v>
      </c>
      <c r="H12" s="18">
        <v>174.0</v>
      </c>
      <c r="I12" s="29">
        <v>73.0</v>
      </c>
      <c r="J12" s="30">
        <f t="shared" ref="J12:J23" si="8">SUM(E12:I12)</f>
        <v>792</v>
      </c>
      <c r="K12" s="15">
        <f t="shared" si="7"/>
        <v>0.5086705202</v>
      </c>
      <c r="L12" s="16">
        <f t="shared" ref="L12:L23" si="9">J12/O12*N12</f>
        <v>792</v>
      </c>
      <c r="M12" s="17">
        <f t="shared" ref="M12:M23" si="10">L12/D12</f>
        <v>0.5086705202</v>
      </c>
      <c r="N12" s="18">
        <v>20.0</v>
      </c>
      <c r="O12" s="18">
        <v>20.0</v>
      </c>
      <c r="P12" s="20" t="s">
        <v>54</v>
      </c>
    </row>
    <row r="13">
      <c r="A13" s="10">
        <v>15.0</v>
      </c>
      <c r="B13" s="10" t="s">
        <v>29</v>
      </c>
      <c r="C13" s="11" t="s">
        <v>19</v>
      </c>
      <c r="D13" s="19">
        <v>6.2429E7</v>
      </c>
      <c r="E13" s="19">
        <v>1.3801E7</v>
      </c>
      <c r="F13" s="12">
        <v>1.6504E7</v>
      </c>
      <c r="G13" s="12">
        <v>1.4355E7</v>
      </c>
      <c r="H13" s="12">
        <v>1.0013E7</v>
      </c>
      <c r="I13" s="19">
        <v>2988000.0</v>
      </c>
      <c r="J13" s="30">
        <f t="shared" si="8"/>
        <v>57661000</v>
      </c>
      <c r="K13" s="15">
        <f t="shared" si="7"/>
        <v>0.9236252383</v>
      </c>
      <c r="L13" s="16">
        <f t="shared" si="9"/>
        <v>57661000</v>
      </c>
      <c r="M13" s="17">
        <f t="shared" si="10"/>
        <v>0.9236252383</v>
      </c>
      <c r="N13" s="18">
        <v>20.0</v>
      </c>
      <c r="O13" s="18">
        <v>20.0</v>
      </c>
      <c r="P13" s="20" t="s">
        <v>54</v>
      </c>
    </row>
    <row r="14">
      <c r="A14" s="10">
        <v>35.0</v>
      </c>
      <c r="B14" s="10" t="s">
        <v>31</v>
      </c>
      <c r="C14" s="11" t="s">
        <v>19</v>
      </c>
      <c r="D14" s="12">
        <v>2.97334078E8</v>
      </c>
      <c r="E14" s="19">
        <v>6.802607E7</v>
      </c>
      <c r="F14" s="19">
        <v>5.6513205E7</v>
      </c>
      <c r="G14" s="19">
        <v>5.8956148E7</v>
      </c>
      <c r="H14" s="19">
        <v>6.3234053E7</v>
      </c>
      <c r="I14" s="18"/>
      <c r="J14" s="30">
        <f t="shared" si="8"/>
        <v>246729476</v>
      </c>
      <c r="K14" s="15">
        <f t="shared" si="7"/>
        <v>0.8298055765</v>
      </c>
      <c r="L14" s="16">
        <f t="shared" si="9"/>
        <v>246729476</v>
      </c>
      <c r="M14" s="17">
        <f t="shared" si="10"/>
        <v>0.8298055765</v>
      </c>
      <c r="N14" s="18">
        <v>20.0</v>
      </c>
      <c r="O14" s="18">
        <v>20.0</v>
      </c>
      <c r="P14" s="20" t="s">
        <v>55</v>
      </c>
    </row>
    <row r="15">
      <c r="A15" s="10">
        <v>102.0</v>
      </c>
      <c r="B15" s="11" t="s">
        <v>32</v>
      </c>
      <c r="C15" s="11" t="s">
        <v>19</v>
      </c>
      <c r="D15" s="19">
        <v>6912.0</v>
      </c>
      <c r="E15" s="18">
        <v>1593.0</v>
      </c>
      <c r="F15" s="18">
        <f>985+401+402+574</f>
        <v>2362</v>
      </c>
      <c r="G15" s="18">
        <f>427+486+400+346+658</f>
        <v>2317</v>
      </c>
      <c r="H15" s="18">
        <f>425+579+439+403</f>
        <v>1846</v>
      </c>
      <c r="I15" s="18"/>
      <c r="J15" s="45">
        <f t="shared" si="8"/>
        <v>8118</v>
      </c>
      <c r="K15" s="15">
        <f t="shared" si="7"/>
        <v>1.174479167</v>
      </c>
      <c r="L15" s="16">
        <f t="shared" si="9"/>
        <v>8545.263158</v>
      </c>
      <c r="M15" s="17">
        <f t="shared" si="10"/>
        <v>1.23629386</v>
      </c>
      <c r="N15" s="18">
        <v>20.0</v>
      </c>
      <c r="O15" s="18">
        <v>19.0</v>
      </c>
      <c r="P15" s="20" t="s">
        <v>56</v>
      </c>
    </row>
    <row r="16">
      <c r="A16" s="10">
        <v>28.0</v>
      </c>
      <c r="B16" s="11" t="s">
        <v>35</v>
      </c>
      <c r="C16" s="11" t="s">
        <v>19</v>
      </c>
      <c r="D16" s="19">
        <f>11280000*28</f>
        <v>315840000</v>
      </c>
      <c r="E16" s="19">
        <f>53460000+43975000+42444000+35519000+26115000</f>
        <v>201513000</v>
      </c>
      <c r="F16" s="12">
        <f>35469000+26043000+31340000+19691550+27010000</f>
        <v>139553550</v>
      </c>
      <c r="G16" s="19">
        <f>28692000+27144500+37235000+26140000+29672000+22605000</f>
        <v>171488500</v>
      </c>
      <c r="H16" s="18">
        <f>20353000+18322000+28961000+30609000+26895000</f>
        <v>125140000</v>
      </c>
      <c r="I16" s="19"/>
      <c r="J16" s="30">
        <f t="shared" si="8"/>
        <v>637695050</v>
      </c>
      <c r="K16" s="15">
        <f t="shared" si="7"/>
        <v>2.019044611</v>
      </c>
      <c r="L16" s="16">
        <f t="shared" si="9"/>
        <v>637695050</v>
      </c>
      <c r="M16" s="17">
        <f t="shared" si="10"/>
        <v>2.019044611</v>
      </c>
      <c r="N16" s="18">
        <v>21.0</v>
      </c>
      <c r="O16" s="18">
        <v>21.0</v>
      </c>
      <c r="P16" s="20" t="s">
        <v>57</v>
      </c>
    </row>
    <row r="17">
      <c r="A17" s="10">
        <v>11.0</v>
      </c>
      <c r="B17" s="11" t="s">
        <v>37</v>
      </c>
      <c r="C17" s="11" t="s">
        <v>19</v>
      </c>
      <c r="D17" s="12">
        <v>1800.0</v>
      </c>
      <c r="E17" s="19">
        <f>40+29+26+32+48</f>
        <v>175</v>
      </c>
      <c r="F17" s="34">
        <f>31+34+52+47+47</f>
        <v>211</v>
      </c>
      <c r="G17" s="34">
        <f>43+49+41+38+17+33</f>
        <v>221</v>
      </c>
      <c r="H17" s="34">
        <f>50+62+32+35+46</f>
        <v>225</v>
      </c>
      <c r="I17" s="34"/>
      <c r="J17" s="30">
        <f t="shared" si="8"/>
        <v>832</v>
      </c>
      <c r="K17" s="15">
        <f t="shared" si="7"/>
        <v>0.4622222222</v>
      </c>
      <c r="L17" s="16">
        <f t="shared" si="9"/>
        <v>832</v>
      </c>
      <c r="M17" s="17">
        <f t="shared" si="10"/>
        <v>0.4622222222</v>
      </c>
      <c r="N17" s="18">
        <v>21.0</v>
      </c>
      <c r="O17" s="18">
        <v>21.0</v>
      </c>
      <c r="P17" s="20" t="s">
        <v>57</v>
      </c>
    </row>
    <row r="18">
      <c r="A18" s="10">
        <v>1.0</v>
      </c>
      <c r="B18" s="11" t="s">
        <v>38</v>
      </c>
      <c r="C18" s="11" t="s">
        <v>19</v>
      </c>
      <c r="D18" s="12">
        <v>550.0</v>
      </c>
      <c r="E18" s="30">
        <f>26+36+27+36+32</f>
        <v>157</v>
      </c>
      <c r="F18" s="29">
        <f>32+27+23+33+27</f>
        <v>142</v>
      </c>
      <c r="G18" s="29">
        <f>18+30+27+26+31+31</f>
        <v>163</v>
      </c>
      <c r="H18" s="29">
        <f>29+35+26+21+28</f>
        <v>139</v>
      </c>
      <c r="I18" s="29"/>
      <c r="J18" s="30">
        <f t="shared" si="8"/>
        <v>601</v>
      </c>
      <c r="K18" s="15">
        <f t="shared" si="7"/>
        <v>1.092727273</v>
      </c>
      <c r="L18" s="16">
        <f t="shared" si="9"/>
        <v>601</v>
      </c>
      <c r="M18" s="17">
        <f t="shared" si="10"/>
        <v>1.092727273</v>
      </c>
      <c r="N18" s="18">
        <v>21.0</v>
      </c>
      <c r="O18" s="18">
        <v>21.0</v>
      </c>
      <c r="P18" s="20" t="s">
        <v>57</v>
      </c>
    </row>
    <row r="19">
      <c r="A19" s="10">
        <v>2.0</v>
      </c>
      <c r="B19" s="10" t="s">
        <v>39</v>
      </c>
      <c r="C19" s="11" t="s">
        <v>19</v>
      </c>
      <c r="D19" s="12">
        <v>960.0</v>
      </c>
      <c r="E19" s="19">
        <f>29+39+56+22+19</f>
        <v>165</v>
      </c>
      <c r="F19" s="29">
        <f>32+52+27+29+43</f>
        <v>183</v>
      </c>
      <c r="G19" s="29">
        <f>40+40+49+46+50+89</f>
        <v>314</v>
      </c>
      <c r="H19" s="29">
        <f>52+48+53+48+47</f>
        <v>248</v>
      </c>
      <c r="I19" s="29"/>
      <c r="J19" s="30">
        <f t="shared" si="8"/>
        <v>910</v>
      </c>
      <c r="K19" s="15">
        <f t="shared" si="7"/>
        <v>0.9479166667</v>
      </c>
      <c r="L19" s="16">
        <f t="shared" si="9"/>
        <v>910</v>
      </c>
      <c r="M19" s="17">
        <f t="shared" si="10"/>
        <v>0.9479166667</v>
      </c>
      <c r="N19" s="18">
        <v>21.0</v>
      </c>
      <c r="O19" s="18">
        <v>21.0</v>
      </c>
      <c r="P19" s="20" t="s">
        <v>57</v>
      </c>
    </row>
    <row r="20">
      <c r="A20" s="10">
        <v>15.0</v>
      </c>
      <c r="B20" s="10" t="s">
        <v>40</v>
      </c>
      <c r="C20" s="11" t="s">
        <v>19</v>
      </c>
      <c r="D20" s="12">
        <v>900.0</v>
      </c>
      <c r="E20" s="19">
        <v>98.0</v>
      </c>
      <c r="F20" s="29">
        <v>113.0</v>
      </c>
      <c r="G20" s="29">
        <v>82.0</v>
      </c>
      <c r="H20" s="29">
        <v>70.0</v>
      </c>
      <c r="I20" s="29"/>
      <c r="J20" s="30">
        <f t="shared" si="8"/>
        <v>363</v>
      </c>
      <c r="K20" s="15">
        <f t="shared" si="7"/>
        <v>0.4033333333</v>
      </c>
      <c r="L20" s="16">
        <f t="shared" si="9"/>
        <v>363</v>
      </c>
      <c r="M20" s="17">
        <f t="shared" si="10"/>
        <v>0.4033333333</v>
      </c>
      <c r="N20" s="18">
        <v>21.0</v>
      </c>
      <c r="O20" s="18">
        <v>21.0</v>
      </c>
      <c r="P20" s="20" t="s">
        <v>55</v>
      </c>
    </row>
    <row r="21">
      <c r="A21" s="10">
        <v>5.0</v>
      </c>
      <c r="B21" s="10" t="s">
        <v>41</v>
      </c>
      <c r="C21" s="11" t="s">
        <v>19</v>
      </c>
      <c r="D21" s="12">
        <v>150.0</v>
      </c>
      <c r="E21" s="19">
        <v>8.0</v>
      </c>
      <c r="F21" s="29">
        <v>17.0</v>
      </c>
      <c r="G21" s="29">
        <v>18.0</v>
      </c>
      <c r="H21" s="32">
        <v>11.0</v>
      </c>
      <c r="I21" s="29"/>
      <c r="J21" s="30">
        <f t="shared" si="8"/>
        <v>54</v>
      </c>
      <c r="K21" s="15">
        <f t="shared" si="7"/>
        <v>0.36</v>
      </c>
      <c r="L21" s="16">
        <f t="shared" si="9"/>
        <v>54</v>
      </c>
      <c r="M21" s="17">
        <f t="shared" si="10"/>
        <v>0.36</v>
      </c>
      <c r="N21" s="18">
        <v>21.0</v>
      </c>
      <c r="O21" s="18">
        <v>21.0</v>
      </c>
      <c r="P21" s="20" t="s">
        <v>55</v>
      </c>
    </row>
    <row r="22">
      <c r="A22" s="10">
        <v>21.0</v>
      </c>
      <c r="B22" s="11" t="s">
        <v>42</v>
      </c>
      <c r="C22" s="11" t="s">
        <v>19</v>
      </c>
      <c r="D22" s="12">
        <v>2485.0</v>
      </c>
      <c r="E22" s="19">
        <v>360.0</v>
      </c>
      <c r="F22" s="29">
        <v>839.0</v>
      </c>
      <c r="G22" s="29">
        <v>662.0</v>
      </c>
      <c r="H22" s="32">
        <v>551.0</v>
      </c>
      <c r="I22" s="29">
        <v>112.0</v>
      </c>
      <c r="J22" s="30">
        <f t="shared" si="8"/>
        <v>2524</v>
      </c>
      <c r="K22" s="15">
        <f t="shared" si="7"/>
        <v>1.015694165</v>
      </c>
      <c r="L22" s="16">
        <f t="shared" si="9"/>
        <v>2524</v>
      </c>
      <c r="M22" s="17">
        <f t="shared" si="10"/>
        <v>1.015694165</v>
      </c>
      <c r="N22" s="18">
        <v>22.0</v>
      </c>
      <c r="O22" s="18">
        <v>22.0</v>
      </c>
      <c r="P22" s="20" t="s">
        <v>58</v>
      </c>
    </row>
    <row r="23">
      <c r="A23" s="10">
        <v>1.0</v>
      </c>
      <c r="B23" s="10" t="s">
        <v>43</v>
      </c>
      <c r="C23" s="11" t="s">
        <v>19</v>
      </c>
      <c r="D23" s="12">
        <v>44.0</v>
      </c>
      <c r="E23" s="12">
        <v>11.0</v>
      </c>
      <c r="F23" s="12">
        <v>12.0</v>
      </c>
      <c r="G23" s="12">
        <v>11.0</v>
      </c>
      <c r="H23" s="12">
        <v>13.0</v>
      </c>
      <c r="I23" s="12"/>
      <c r="J23" s="14">
        <f t="shared" si="8"/>
        <v>47</v>
      </c>
      <c r="K23" s="15">
        <f t="shared" si="7"/>
        <v>1.068181818</v>
      </c>
      <c r="L23" s="16">
        <f t="shared" si="9"/>
        <v>47</v>
      </c>
      <c r="M23" s="17">
        <f t="shared" si="10"/>
        <v>1.068181818</v>
      </c>
      <c r="N23" s="18">
        <v>21.0</v>
      </c>
      <c r="O23" s="18">
        <v>21.0</v>
      </c>
      <c r="P23" s="20" t="s">
        <v>55</v>
      </c>
    </row>
    <row r="24">
      <c r="A24" s="10">
        <v>45.0</v>
      </c>
      <c r="B24" s="10" t="s">
        <v>44</v>
      </c>
      <c r="C24" s="11" t="s">
        <v>19</v>
      </c>
      <c r="D24" s="21">
        <v>0.85</v>
      </c>
      <c r="E24" s="21">
        <v>0.98</v>
      </c>
      <c r="F24" s="24">
        <v>0.97</v>
      </c>
      <c r="G24" s="24">
        <v>0.97</v>
      </c>
      <c r="H24" s="24">
        <v>0.91</v>
      </c>
      <c r="I24" s="24">
        <v>0.91</v>
      </c>
      <c r="J24" s="57">
        <f>AVERAGE(E24:I24)</f>
        <v>0.948</v>
      </c>
      <c r="K24" s="15">
        <f t="shared" si="7"/>
        <v>1.115294118</v>
      </c>
      <c r="L24" s="22">
        <f>K24</f>
        <v>1.115294118</v>
      </c>
      <c r="M24" s="17">
        <f>K24</f>
        <v>1.115294118</v>
      </c>
      <c r="N24" s="18">
        <v>28.0</v>
      </c>
      <c r="O24" s="18">
        <v>28.0</v>
      </c>
      <c r="P24" s="20" t="s">
        <v>55</v>
      </c>
    </row>
    <row r="25">
      <c r="A25" s="35"/>
      <c r="B25" s="35"/>
      <c r="C25" s="35"/>
      <c r="D25" s="36"/>
      <c r="E25" s="37"/>
      <c r="F25" s="38"/>
      <c r="G25" s="38"/>
      <c r="H25" s="36"/>
      <c r="I25" s="38"/>
      <c r="J25" s="37"/>
      <c r="K25" s="39"/>
      <c r="L25" s="40"/>
      <c r="M25" s="41"/>
      <c r="N25" s="38"/>
      <c r="O25" s="38"/>
    </row>
    <row r="26" ht="15.0" customHeight="1">
      <c r="A26" s="1" t="s">
        <v>0</v>
      </c>
      <c r="B26" s="42" t="s">
        <v>59</v>
      </c>
    </row>
    <row r="27" ht="10.5" customHeight="1">
      <c r="A27" s="3"/>
    </row>
    <row r="28">
      <c r="A28" s="3"/>
    </row>
    <row r="29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>
      <c r="A30" s="5" t="s">
        <v>2</v>
      </c>
      <c r="B30" s="5" t="s">
        <v>3</v>
      </c>
      <c r="C30" s="5" t="s">
        <v>4</v>
      </c>
      <c r="D30" s="6" t="s">
        <v>5</v>
      </c>
      <c r="E30" s="7" t="s">
        <v>6</v>
      </c>
      <c r="F30" s="4"/>
      <c r="G30" s="4"/>
      <c r="H30" s="4"/>
      <c r="I30" s="8"/>
      <c r="J30" s="6" t="s">
        <v>7</v>
      </c>
      <c r="K30" s="6" t="s">
        <v>8</v>
      </c>
      <c r="L30" s="6" t="s">
        <v>9</v>
      </c>
      <c r="M30" s="6" t="s">
        <v>10</v>
      </c>
      <c r="N30" s="6" t="s">
        <v>11</v>
      </c>
      <c r="O30" s="6" t="s">
        <v>12</v>
      </c>
    </row>
    <row r="31">
      <c r="A31" s="8"/>
      <c r="B31" s="8"/>
      <c r="C31" s="8"/>
      <c r="D31" s="8"/>
      <c r="E31" s="9" t="s">
        <v>13</v>
      </c>
      <c r="F31" s="9" t="s">
        <v>14</v>
      </c>
      <c r="G31" s="9" t="s">
        <v>15</v>
      </c>
      <c r="H31" s="9" t="s">
        <v>16</v>
      </c>
      <c r="I31" s="9" t="s">
        <v>17</v>
      </c>
      <c r="J31" s="8"/>
      <c r="K31" s="8"/>
      <c r="L31" s="8"/>
      <c r="M31" s="8"/>
      <c r="N31" s="8"/>
      <c r="O31" s="8"/>
    </row>
    <row r="32">
      <c r="A32" s="10">
        <v>95.0</v>
      </c>
      <c r="B32" s="11" t="s">
        <v>18</v>
      </c>
      <c r="C32" s="11" t="s">
        <v>19</v>
      </c>
      <c r="D32" s="19">
        <v>8.075E8</v>
      </c>
      <c r="E32" s="12">
        <v>1.9179176156E8</v>
      </c>
      <c r="F32" s="12">
        <v>1.6804295392E8</v>
      </c>
      <c r="G32" s="12">
        <v>2.2754040305E8</v>
      </c>
      <c r="H32" s="13">
        <v>2.5214406084E8</v>
      </c>
      <c r="I32" s="13"/>
      <c r="J32" s="14">
        <f t="shared" ref="J32:J34" si="11">SUM(E32:I32)</f>
        <v>839519179.4</v>
      </c>
      <c r="K32" s="15">
        <f t="shared" ref="K32:K34" si="12">J32/D32</f>
        <v>1.039652235</v>
      </c>
      <c r="L32" s="16">
        <f t="shared" ref="L32:L34" si="13">J32/O32*N32</f>
        <v>839519179.4</v>
      </c>
      <c r="M32" s="59">
        <f t="shared" ref="M32:M34" si="14">L32/D32</f>
        <v>1.039652235</v>
      </c>
      <c r="N32" s="18">
        <v>20.0</v>
      </c>
      <c r="O32" s="19">
        <v>20.0</v>
      </c>
      <c r="P32" s="20" t="s">
        <v>57</v>
      </c>
    </row>
    <row r="33">
      <c r="A33" s="10">
        <v>6.0</v>
      </c>
      <c r="B33" s="11" t="s">
        <v>21</v>
      </c>
      <c r="C33" s="11" t="s">
        <v>19</v>
      </c>
      <c r="D33" s="19">
        <v>6.0E7</v>
      </c>
      <c r="E33" s="12">
        <v>9775973.42</v>
      </c>
      <c r="F33" s="12">
        <v>1.256912599E7</v>
      </c>
      <c r="G33" s="12">
        <v>8094920.0</v>
      </c>
      <c r="H33" s="13">
        <v>1.002564183E7</v>
      </c>
      <c r="I33" s="12"/>
      <c r="J33" s="14">
        <f t="shared" si="11"/>
        <v>40465661.24</v>
      </c>
      <c r="K33" s="15">
        <f t="shared" si="12"/>
        <v>0.6744276873</v>
      </c>
      <c r="L33" s="16">
        <f t="shared" si="13"/>
        <v>40465661.24</v>
      </c>
      <c r="M33" s="59">
        <f t="shared" si="14"/>
        <v>0.6744276873</v>
      </c>
      <c r="N33" s="18">
        <v>20.0</v>
      </c>
      <c r="O33" s="19">
        <v>20.0</v>
      </c>
      <c r="P33" s="20" t="s">
        <v>57</v>
      </c>
    </row>
    <row r="34">
      <c r="A34" s="10">
        <v>64.0</v>
      </c>
      <c r="B34" s="10" t="s">
        <v>22</v>
      </c>
      <c r="C34" s="11" t="s">
        <v>19</v>
      </c>
      <c r="D34" s="19">
        <v>3.3E8</v>
      </c>
      <c r="E34" s="12">
        <v>7.561076E7</v>
      </c>
      <c r="F34" s="12">
        <v>6.07085E7</v>
      </c>
      <c r="G34" s="12">
        <v>7.0352E7</v>
      </c>
      <c r="H34" s="12">
        <v>7.1545E7</v>
      </c>
      <c r="I34" s="12"/>
      <c r="J34" s="14">
        <f t="shared" si="11"/>
        <v>278216260</v>
      </c>
      <c r="K34" s="15">
        <f t="shared" si="12"/>
        <v>0.8430795758</v>
      </c>
      <c r="L34" s="16">
        <f t="shared" si="13"/>
        <v>278216260</v>
      </c>
      <c r="M34" s="59">
        <f t="shared" si="14"/>
        <v>0.8430795758</v>
      </c>
      <c r="N34" s="18">
        <v>20.0</v>
      </c>
      <c r="O34" s="19">
        <v>20.0</v>
      </c>
      <c r="P34" s="20" t="s">
        <v>57</v>
      </c>
    </row>
    <row r="35">
      <c r="A35" s="10">
        <v>2.0</v>
      </c>
      <c r="B35" s="10" t="s">
        <v>24</v>
      </c>
      <c r="C35" s="10" t="s">
        <v>53</v>
      </c>
      <c r="D35" s="19">
        <v>1.0E8</v>
      </c>
      <c r="E35" s="21">
        <v>1.82</v>
      </c>
      <c r="F35" s="21">
        <v>1.82</v>
      </c>
      <c r="G35" s="21">
        <v>1.82</v>
      </c>
      <c r="H35" s="21">
        <v>1.82</v>
      </c>
      <c r="I35" s="13"/>
      <c r="J35" s="57">
        <f t="shared" ref="J35:J36" si="16">H35</f>
        <v>1.82</v>
      </c>
      <c r="K35" s="15">
        <f t="shared" ref="K35:L35" si="15">J35</f>
        <v>1.82</v>
      </c>
      <c r="L35" s="58">
        <f t="shared" si="15"/>
        <v>1.82</v>
      </c>
      <c r="M35" s="59">
        <f t="shared" ref="M35:M36" si="17">K35</f>
        <v>1.82</v>
      </c>
      <c r="N35" s="18">
        <v>20.0</v>
      </c>
      <c r="O35" s="19">
        <v>20.0</v>
      </c>
      <c r="P35" s="20" t="s">
        <v>57</v>
      </c>
    </row>
    <row r="36">
      <c r="A36" s="10">
        <v>10.0</v>
      </c>
      <c r="B36" s="10" t="s">
        <v>25</v>
      </c>
      <c r="C36" s="11" t="s">
        <v>26</v>
      </c>
      <c r="D36" s="21">
        <v>0.8</v>
      </c>
      <c r="E36" s="23">
        <v>0.5938</v>
      </c>
      <c r="F36" s="23">
        <v>0.409</v>
      </c>
      <c r="G36" s="21">
        <v>0.4951</v>
      </c>
      <c r="H36" s="24">
        <v>0.9282</v>
      </c>
      <c r="I36" s="24"/>
      <c r="J36" s="57">
        <f t="shared" si="16"/>
        <v>0.9282</v>
      </c>
      <c r="K36" s="15">
        <f t="shared" ref="K36:K49" si="18">J36/D36</f>
        <v>1.16025</v>
      </c>
      <c r="L36" s="58">
        <f>K36</f>
        <v>1.16025</v>
      </c>
      <c r="M36" s="59">
        <f t="shared" si="17"/>
        <v>1.16025</v>
      </c>
      <c r="N36" s="18">
        <v>20.0</v>
      </c>
      <c r="O36" s="19">
        <v>20.0</v>
      </c>
      <c r="P36" s="20" t="s">
        <v>57</v>
      </c>
    </row>
    <row r="37">
      <c r="A37" s="10">
        <v>26.0</v>
      </c>
      <c r="B37" s="10" t="s">
        <v>27</v>
      </c>
      <c r="C37" s="11" t="s">
        <v>19</v>
      </c>
      <c r="D37" s="19">
        <v>900.0</v>
      </c>
      <c r="E37" s="18">
        <v>107.0</v>
      </c>
      <c r="F37" s="18">
        <v>139.0</v>
      </c>
      <c r="G37" s="18">
        <v>146.0</v>
      </c>
      <c r="H37" s="18">
        <v>144.0</v>
      </c>
      <c r="I37" s="29"/>
      <c r="J37" s="45">
        <f t="shared" ref="J37:J39" si="19">sum(E37:I37)</f>
        <v>536</v>
      </c>
      <c r="K37" s="15">
        <f t="shared" si="18"/>
        <v>0.5955555556</v>
      </c>
      <c r="L37" s="16">
        <f t="shared" ref="L37:L49" si="20">J37/O37*N37</f>
        <v>536</v>
      </c>
      <c r="M37" s="59">
        <f t="shared" ref="M37:M49" si="21">L37/D37</f>
        <v>0.5955555556</v>
      </c>
      <c r="N37" s="18">
        <v>20.0</v>
      </c>
      <c r="O37" s="60">
        <v>20.0</v>
      </c>
      <c r="P37" s="61" t="s">
        <v>60</v>
      </c>
    </row>
    <row r="38">
      <c r="A38" s="10">
        <v>15.0</v>
      </c>
      <c r="B38" s="10" t="s">
        <v>29</v>
      </c>
      <c r="C38" s="11" t="s">
        <v>19</v>
      </c>
      <c r="D38" s="12">
        <v>1.34E7</v>
      </c>
      <c r="E38" s="19">
        <v>2340000.0</v>
      </c>
      <c r="F38" s="12">
        <v>3539000.0</v>
      </c>
      <c r="G38" s="12">
        <v>1266000.0</v>
      </c>
      <c r="H38" s="19">
        <v>5208000.0</v>
      </c>
      <c r="I38" s="30"/>
      <c r="J38" s="30">
        <f t="shared" si="19"/>
        <v>12353000</v>
      </c>
      <c r="K38" s="15">
        <f t="shared" si="18"/>
        <v>0.9218656716</v>
      </c>
      <c r="L38" s="16">
        <f t="shared" si="20"/>
        <v>12353000</v>
      </c>
      <c r="M38" s="59">
        <f t="shared" si="21"/>
        <v>0.9218656716</v>
      </c>
      <c r="N38" s="62">
        <v>20.0</v>
      </c>
      <c r="O38" s="63">
        <v>20.0</v>
      </c>
      <c r="P38" s="64" t="s">
        <v>60</v>
      </c>
    </row>
    <row r="39">
      <c r="A39" s="10">
        <v>35.0</v>
      </c>
      <c r="B39" s="10" t="s">
        <v>31</v>
      </c>
      <c r="C39" s="11" t="s">
        <v>19</v>
      </c>
      <c r="D39" s="14">
        <f t="shared" ref="D39:G39" si="22">D14</f>
        <v>297334078</v>
      </c>
      <c r="E39" s="14">
        <f t="shared" si="22"/>
        <v>68026070</v>
      </c>
      <c r="F39" s="14">
        <f t="shared" si="22"/>
        <v>56513205</v>
      </c>
      <c r="G39" s="14">
        <f t="shared" si="22"/>
        <v>58956148</v>
      </c>
      <c r="H39" s="12">
        <v>6.3234053E7</v>
      </c>
      <c r="I39" s="14" t="str">
        <f>I14</f>
        <v/>
      </c>
      <c r="J39" s="14">
        <f t="shared" si="19"/>
        <v>246729476</v>
      </c>
      <c r="K39" s="15">
        <f t="shared" si="18"/>
        <v>0.8298055765</v>
      </c>
      <c r="L39" s="16">
        <f t="shared" si="20"/>
        <v>246729476</v>
      </c>
      <c r="M39" s="59">
        <f t="shared" si="21"/>
        <v>0.8298055765</v>
      </c>
      <c r="N39" s="65">
        <f t="shared" ref="N39:O39" si="23">N14</f>
        <v>20</v>
      </c>
      <c r="O39" s="66">
        <f t="shared" si="23"/>
        <v>20</v>
      </c>
      <c r="P39" s="64" t="s">
        <v>61</v>
      </c>
    </row>
    <row r="40">
      <c r="A40" s="10">
        <v>102.0</v>
      </c>
      <c r="B40" s="11" t="s">
        <v>32</v>
      </c>
      <c r="C40" s="10" t="s">
        <v>47</v>
      </c>
      <c r="D40" s="19">
        <v>6912.0</v>
      </c>
      <c r="E40" s="18">
        <v>1456.0</v>
      </c>
      <c r="F40" s="18">
        <f>670+466+789</f>
        <v>1925</v>
      </c>
      <c r="G40" s="18">
        <f>639+386+513+368+366</f>
        <v>2272</v>
      </c>
      <c r="H40" s="18">
        <f>634++536+926+495</f>
        <v>2591</v>
      </c>
      <c r="I40" s="33"/>
      <c r="J40" s="45">
        <f t="shared" ref="J40:J48" si="25">SUM(E40:I40)</f>
        <v>8244</v>
      </c>
      <c r="K40" s="15">
        <f t="shared" si="18"/>
        <v>1.192708333</v>
      </c>
      <c r="L40" s="16">
        <f t="shared" si="20"/>
        <v>8244</v>
      </c>
      <c r="M40" s="59">
        <f t="shared" si="21"/>
        <v>1.192708333</v>
      </c>
      <c r="N40" s="62">
        <v>20.0</v>
      </c>
      <c r="O40" s="63">
        <v>20.0</v>
      </c>
      <c r="P40" s="61" t="s">
        <v>62</v>
      </c>
    </row>
    <row r="41">
      <c r="A41" s="10">
        <v>28.0</v>
      </c>
      <c r="B41" s="11" t="s">
        <v>35</v>
      </c>
      <c r="C41" s="11" t="s">
        <v>19</v>
      </c>
      <c r="D41" s="19">
        <f t="shared" ref="D41:G41" si="24">D16</f>
        <v>315840000</v>
      </c>
      <c r="E41" s="19">
        <f t="shared" si="24"/>
        <v>201513000</v>
      </c>
      <c r="F41" s="19">
        <f t="shared" si="24"/>
        <v>139553550</v>
      </c>
      <c r="G41" s="19">
        <f t="shared" si="24"/>
        <v>171488500</v>
      </c>
      <c r="H41" s="19">
        <v>1.3088285E8</v>
      </c>
      <c r="I41" s="67"/>
      <c r="J41" s="30">
        <f t="shared" si="25"/>
        <v>643437900</v>
      </c>
      <c r="K41" s="15">
        <f t="shared" si="18"/>
        <v>2.037227394</v>
      </c>
      <c r="L41" s="16">
        <f t="shared" si="20"/>
        <v>643437900</v>
      </c>
      <c r="M41" s="59">
        <f t="shared" si="21"/>
        <v>2.037227394</v>
      </c>
      <c r="N41" s="18">
        <v>21.0</v>
      </c>
      <c r="O41" s="18">
        <v>21.0</v>
      </c>
      <c r="P41" s="20" t="s">
        <v>57</v>
      </c>
    </row>
    <row r="42">
      <c r="A42" s="10">
        <v>11.0</v>
      </c>
      <c r="B42" s="11" t="s">
        <v>37</v>
      </c>
      <c r="C42" s="11" t="s">
        <v>19</v>
      </c>
      <c r="D42" s="19">
        <f t="shared" ref="D42:H42" si="26">D17</f>
        <v>1800</v>
      </c>
      <c r="E42" s="19">
        <f t="shared" si="26"/>
        <v>175</v>
      </c>
      <c r="F42" s="19">
        <f t="shared" si="26"/>
        <v>211</v>
      </c>
      <c r="G42" s="19">
        <f t="shared" si="26"/>
        <v>221</v>
      </c>
      <c r="H42" s="19">
        <f t="shared" si="26"/>
        <v>225</v>
      </c>
      <c r="I42" s="46"/>
      <c r="J42" s="30">
        <f t="shared" si="25"/>
        <v>832</v>
      </c>
      <c r="K42" s="15">
        <f t="shared" si="18"/>
        <v>0.4622222222</v>
      </c>
      <c r="L42" s="16">
        <f t="shared" si="20"/>
        <v>832</v>
      </c>
      <c r="M42" s="59">
        <f t="shared" si="21"/>
        <v>0.4622222222</v>
      </c>
      <c r="N42" s="18">
        <v>21.0</v>
      </c>
      <c r="O42" s="18">
        <v>21.0</v>
      </c>
      <c r="P42" s="20" t="s">
        <v>57</v>
      </c>
    </row>
    <row r="43">
      <c r="A43" s="10">
        <v>1.0</v>
      </c>
      <c r="B43" s="11" t="s">
        <v>38</v>
      </c>
      <c r="C43" s="11" t="s">
        <v>19</v>
      </c>
      <c r="D43" s="19">
        <f t="shared" ref="D43:H43" si="27">D18</f>
        <v>550</v>
      </c>
      <c r="E43" s="19">
        <f t="shared" si="27"/>
        <v>157</v>
      </c>
      <c r="F43" s="19">
        <f t="shared" si="27"/>
        <v>142</v>
      </c>
      <c r="G43" s="19">
        <f t="shared" si="27"/>
        <v>163</v>
      </c>
      <c r="H43" s="19">
        <f t="shared" si="27"/>
        <v>139</v>
      </c>
      <c r="I43" s="46"/>
      <c r="J43" s="30">
        <f t="shared" si="25"/>
        <v>601</v>
      </c>
      <c r="K43" s="15">
        <f t="shared" si="18"/>
        <v>1.092727273</v>
      </c>
      <c r="L43" s="16">
        <f t="shared" si="20"/>
        <v>601</v>
      </c>
      <c r="M43" s="59">
        <f t="shared" si="21"/>
        <v>1.092727273</v>
      </c>
      <c r="N43" s="18">
        <v>21.0</v>
      </c>
      <c r="O43" s="18">
        <v>21.0</v>
      </c>
      <c r="P43" s="20" t="s">
        <v>57</v>
      </c>
    </row>
    <row r="44">
      <c r="A44" s="10">
        <v>2.0</v>
      </c>
      <c r="B44" s="10" t="s">
        <v>39</v>
      </c>
      <c r="C44" s="11" t="s">
        <v>19</v>
      </c>
      <c r="D44" s="19">
        <f t="shared" ref="D44:H44" si="28">D19</f>
        <v>960</v>
      </c>
      <c r="E44" s="19">
        <f t="shared" si="28"/>
        <v>165</v>
      </c>
      <c r="F44" s="19">
        <f t="shared" si="28"/>
        <v>183</v>
      </c>
      <c r="G44" s="19">
        <f t="shared" si="28"/>
        <v>314</v>
      </c>
      <c r="H44" s="19">
        <f t="shared" si="28"/>
        <v>248</v>
      </c>
      <c r="I44" s="46"/>
      <c r="J44" s="30">
        <f t="shared" si="25"/>
        <v>910</v>
      </c>
      <c r="K44" s="15">
        <f t="shared" si="18"/>
        <v>0.9479166667</v>
      </c>
      <c r="L44" s="16">
        <f t="shared" si="20"/>
        <v>910</v>
      </c>
      <c r="M44" s="59">
        <f t="shared" si="21"/>
        <v>0.9479166667</v>
      </c>
      <c r="N44" s="18">
        <v>21.0</v>
      </c>
      <c r="O44" s="18">
        <v>21.0</v>
      </c>
      <c r="P44" s="20" t="s">
        <v>57</v>
      </c>
    </row>
    <row r="45">
      <c r="A45" s="10">
        <v>15.0</v>
      </c>
      <c r="B45" s="10" t="s">
        <v>48</v>
      </c>
      <c r="C45" s="11" t="s">
        <v>19</v>
      </c>
      <c r="D45" s="12">
        <v>900.0</v>
      </c>
      <c r="E45" s="19">
        <v>98.0</v>
      </c>
      <c r="F45" s="29">
        <v>113.0</v>
      </c>
      <c r="G45" s="29">
        <v>82.0</v>
      </c>
      <c r="H45" s="29">
        <v>70.0</v>
      </c>
      <c r="I45" s="29"/>
      <c r="J45" s="30">
        <f t="shared" si="25"/>
        <v>363</v>
      </c>
      <c r="K45" s="15">
        <f t="shared" si="18"/>
        <v>0.4033333333</v>
      </c>
      <c r="L45" s="16">
        <f t="shared" si="20"/>
        <v>345.7142857</v>
      </c>
      <c r="M45" s="59">
        <f t="shared" si="21"/>
        <v>0.3841269841</v>
      </c>
      <c r="N45" s="18">
        <v>20.0</v>
      </c>
      <c r="O45" s="18">
        <f t="shared" ref="O45:P45" si="29">O20</f>
        <v>21</v>
      </c>
      <c r="P45" s="68" t="str">
        <f t="shared" si="29"/>
        <v>as of February 28, 2025</v>
      </c>
    </row>
    <row r="46">
      <c r="A46" s="10">
        <v>5.0</v>
      </c>
      <c r="B46" s="10" t="s">
        <v>41</v>
      </c>
      <c r="C46" s="11" t="s">
        <v>19</v>
      </c>
      <c r="D46" s="12">
        <v>150.0</v>
      </c>
      <c r="E46" s="19">
        <v>8.0</v>
      </c>
      <c r="F46" s="29">
        <v>17.0</v>
      </c>
      <c r="G46" s="29">
        <v>18.0</v>
      </c>
      <c r="H46" s="32">
        <v>11.0</v>
      </c>
      <c r="I46" s="29"/>
      <c r="J46" s="30">
        <f t="shared" si="25"/>
        <v>54</v>
      </c>
      <c r="K46" s="15">
        <f t="shared" si="18"/>
        <v>0.36</v>
      </c>
      <c r="L46" s="16">
        <f t="shared" si="20"/>
        <v>51.42857143</v>
      </c>
      <c r="M46" s="59">
        <f t="shared" si="21"/>
        <v>0.3428571429</v>
      </c>
      <c r="N46" s="18">
        <v>20.0</v>
      </c>
      <c r="O46" s="18">
        <f t="shared" ref="O46:P46" si="30">O21</f>
        <v>21</v>
      </c>
      <c r="P46" s="68" t="str">
        <f t="shared" si="30"/>
        <v>as of February 28, 2025</v>
      </c>
    </row>
    <row r="47">
      <c r="A47" s="10">
        <v>21.0</v>
      </c>
      <c r="B47" s="11" t="s">
        <v>42</v>
      </c>
      <c r="C47" s="11" t="s">
        <v>19</v>
      </c>
      <c r="D47" s="12">
        <v>1512.0</v>
      </c>
      <c r="E47" s="19">
        <v>137.0</v>
      </c>
      <c r="F47" s="29">
        <v>422.0</v>
      </c>
      <c r="G47" s="29">
        <v>398.0</v>
      </c>
      <c r="H47" s="32">
        <v>234.0</v>
      </c>
      <c r="I47" s="29">
        <v>234.0</v>
      </c>
      <c r="J47" s="30">
        <f t="shared" si="25"/>
        <v>1425</v>
      </c>
      <c r="K47" s="15">
        <f t="shared" si="18"/>
        <v>0.9424603175</v>
      </c>
      <c r="L47" s="16">
        <f t="shared" si="20"/>
        <v>1425</v>
      </c>
      <c r="M47" s="59">
        <f t="shared" si="21"/>
        <v>0.9424603175</v>
      </c>
      <c r="N47" s="18">
        <v>20.0</v>
      </c>
      <c r="O47" s="18">
        <v>20.0</v>
      </c>
      <c r="P47" s="20" t="s">
        <v>63</v>
      </c>
    </row>
    <row r="48">
      <c r="A48" s="10">
        <v>1.0</v>
      </c>
      <c r="B48" s="10" t="s">
        <v>43</v>
      </c>
      <c r="C48" s="11" t="s">
        <v>19</v>
      </c>
      <c r="D48" s="12">
        <v>44.0</v>
      </c>
      <c r="E48" s="12">
        <v>11.0</v>
      </c>
      <c r="F48" s="12">
        <v>12.0</v>
      </c>
      <c r="G48" s="12">
        <v>11.0</v>
      </c>
      <c r="H48" s="12">
        <v>13.0</v>
      </c>
      <c r="I48" s="12"/>
      <c r="J48" s="14">
        <f t="shared" si="25"/>
        <v>47</v>
      </c>
      <c r="K48" s="15">
        <f t="shared" si="18"/>
        <v>1.068181818</v>
      </c>
      <c r="L48" s="16">
        <f t="shared" si="20"/>
        <v>44.76190476</v>
      </c>
      <c r="M48" s="59">
        <f t="shared" si="21"/>
        <v>1.017316017</v>
      </c>
      <c r="N48" s="18">
        <v>20.0</v>
      </c>
      <c r="O48" s="18">
        <f t="shared" ref="O48:P48" si="31">O23</f>
        <v>21</v>
      </c>
      <c r="P48" s="68" t="str">
        <f t="shared" si="31"/>
        <v>as of February 28, 2025</v>
      </c>
    </row>
    <row r="49">
      <c r="A49" s="10">
        <v>45.0</v>
      </c>
      <c r="B49" s="10" t="s">
        <v>44</v>
      </c>
      <c r="C49" s="11" t="s">
        <v>19</v>
      </c>
      <c r="D49" s="21">
        <v>0.85</v>
      </c>
      <c r="E49" s="21">
        <v>0.98</v>
      </c>
      <c r="F49" s="24">
        <v>0.97</v>
      </c>
      <c r="G49" s="24">
        <v>0.97</v>
      </c>
      <c r="H49" s="24">
        <v>0.91</v>
      </c>
      <c r="I49" s="24">
        <v>0.91</v>
      </c>
      <c r="J49" s="57">
        <f>average(E49:I49)</f>
        <v>0.948</v>
      </c>
      <c r="K49" s="15">
        <f t="shared" si="18"/>
        <v>1.115294118</v>
      </c>
      <c r="L49" s="22">
        <f t="shared" si="20"/>
        <v>0.948</v>
      </c>
      <c r="M49" s="59">
        <f t="shared" si="21"/>
        <v>1.115294118</v>
      </c>
      <c r="N49" s="18">
        <v>28.0</v>
      </c>
      <c r="O49" s="18">
        <f t="shared" ref="O49:P49" si="32">O24</f>
        <v>28</v>
      </c>
      <c r="P49" s="68" t="str">
        <f t="shared" si="32"/>
        <v>as of February 28, 2025</v>
      </c>
    </row>
    <row r="50">
      <c r="A50" s="47"/>
      <c r="B50" s="48"/>
      <c r="C50" s="47"/>
      <c r="D50" s="49"/>
      <c r="E50" s="49"/>
      <c r="F50" s="50"/>
      <c r="G50" s="38"/>
      <c r="H50" s="36"/>
      <c r="I50" s="50"/>
      <c r="J50" s="50"/>
      <c r="K50" s="51"/>
      <c r="L50" s="52"/>
      <c r="M50" s="53"/>
      <c r="N50" s="54"/>
      <c r="O50" s="54"/>
    </row>
    <row r="51">
      <c r="A51" s="35"/>
      <c r="B51" s="35"/>
      <c r="C51" s="35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</row>
    <row r="52">
      <c r="A52" s="35"/>
      <c r="B52" s="35"/>
      <c r="C52" s="35"/>
      <c r="D52" s="38"/>
      <c r="E52" s="38"/>
      <c r="F52" s="36"/>
      <c r="G52" s="38"/>
      <c r="H52" s="38"/>
      <c r="I52" s="38"/>
      <c r="J52" s="55"/>
      <c r="K52" s="56"/>
      <c r="L52" s="38"/>
      <c r="M52" s="38"/>
      <c r="N52" s="38"/>
      <c r="O52" s="38"/>
    </row>
    <row r="53">
      <c r="A53" s="35"/>
      <c r="B53" s="35"/>
      <c r="C53" s="35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</row>
    <row r="54">
      <c r="A54" s="35"/>
      <c r="C54" s="35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</row>
    <row r="55">
      <c r="A55" s="35"/>
      <c r="B55" s="35"/>
      <c r="C55" s="35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</row>
    <row r="56">
      <c r="A56" s="35"/>
      <c r="B56" s="35"/>
      <c r="C56" s="35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</row>
    <row r="57">
      <c r="A57" s="35"/>
      <c r="B57" s="35"/>
      <c r="C57" s="35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</row>
    <row r="58">
      <c r="A58" s="35"/>
      <c r="B58" s="35"/>
      <c r="C58" s="35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</row>
    <row r="59">
      <c r="A59" s="35"/>
      <c r="B59" s="35"/>
      <c r="C59" s="35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</row>
    <row r="60">
      <c r="A60" s="35"/>
      <c r="B60" s="35"/>
      <c r="C60" s="35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</row>
    <row r="61">
      <c r="A61" s="35"/>
      <c r="B61" s="35"/>
      <c r="C61" s="35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</row>
    <row r="62">
      <c r="A62" s="35"/>
      <c r="B62" s="35"/>
      <c r="C62" s="35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</row>
    <row r="63">
      <c r="A63" s="35"/>
      <c r="B63" s="35"/>
      <c r="C63" s="35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</row>
    <row r="64">
      <c r="A64" s="35"/>
      <c r="B64" s="35"/>
      <c r="C64" s="35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</row>
    <row r="65">
      <c r="A65" s="35"/>
      <c r="B65" s="35"/>
      <c r="C65" s="35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</row>
    <row r="66">
      <c r="A66" s="35"/>
      <c r="B66" s="35"/>
      <c r="C66" s="35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</row>
    <row r="67">
      <c r="A67" s="35"/>
      <c r="B67" s="35"/>
      <c r="C67" s="35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</row>
    <row r="68">
      <c r="A68" s="35"/>
      <c r="B68" s="35"/>
      <c r="C68" s="35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</row>
    <row r="69">
      <c r="A69" s="35"/>
      <c r="B69" s="35"/>
      <c r="C69" s="35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</row>
    <row r="70">
      <c r="A70" s="35"/>
      <c r="B70" s="35"/>
      <c r="C70" s="35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</row>
    <row r="71">
      <c r="A71" s="35"/>
      <c r="B71" s="35"/>
      <c r="C71" s="35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</row>
    <row r="72">
      <c r="A72" s="35"/>
      <c r="B72" s="35"/>
      <c r="C72" s="35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</row>
    <row r="73">
      <c r="A73" s="35"/>
      <c r="B73" s="35"/>
      <c r="C73" s="35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</row>
    <row r="74">
      <c r="A74" s="35"/>
      <c r="B74" s="35"/>
      <c r="C74" s="35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</row>
    <row r="75">
      <c r="A75" s="35"/>
      <c r="B75" s="35"/>
      <c r="C75" s="35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</row>
    <row r="76">
      <c r="A76" s="35"/>
      <c r="B76" s="35"/>
      <c r="C76" s="35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</row>
    <row r="77">
      <c r="A77" s="35"/>
      <c r="B77" s="35"/>
      <c r="C77" s="35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</row>
    <row r="78">
      <c r="A78" s="35"/>
      <c r="B78" s="35"/>
      <c r="C78" s="35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</row>
    <row r="79">
      <c r="A79" s="35"/>
      <c r="B79" s="35"/>
      <c r="C79" s="35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</row>
    <row r="80">
      <c r="A80" s="35"/>
      <c r="B80" s="35"/>
      <c r="C80" s="35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</row>
    <row r="81">
      <c r="A81" s="35"/>
      <c r="B81" s="35"/>
      <c r="C81" s="35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</row>
    <row r="82">
      <c r="A82" s="35"/>
      <c r="B82" s="35"/>
      <c r="C82" s="35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</row>
    <row r="83">
      <c r="A83" s="35"/>
      <c r="B83" s="35"/>
      <c r="C83" s="35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</row>
    <row r="84">
      <c r="A84" s="35"/>
      <c r="B84" s="35"/>
      <c r="C84" s="35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</row>
    <row r="85">
      <c r="A85" s="35"/>
      <c r="B85" s="35"/>
      <c r="C85" s="35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</row>
    <row r="86">
      <c r="A86" s="35"/>
      <c r="B86" s="35"/>
      <c r="C86" s="35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</row>
    <row r="87">
      <c r="A87" s="35"/>
      <c r="B87" s="35"/>
      <c r="C87" s="35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</row>
    <row r="88">
      <c r="A88" s="35"/>
      <c r="B88" s="35"/>
      <c r="C88" s="35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</row>
    <row r="89">
      <c r="A89" s="35"/>
      <c r="B89" s="35"/>
      <c r="C89" s="35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</row>
    <row r="90">
      <c r="A90" s="35"/>
      <c r="B90" s="35"/>
      <c r="C90" s="35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</row>
    <row r="91">
      <c r="A91" s="35"/>
      <c r="B91" s="35"/>
      <c r="C91" s="35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</row>
    <row r="92">
      <c r="A92" s="35"/>
      <c r="B92" s="35"/>
      <c r="C92" s="35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</row>
    <row r="93">
      <c r="A93" s="35"/>
      <c r="B93" s="35"/>
      <c r="C93" s="35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</row>
    <row r="94">
      <c r="A94" s="35"/>
      <c r="B94" s="35"/>
      <c r="C94" s="35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</row>
    <row r="95">
      <c r="A95" s="35"/>
      <c r="B95" s="35"/>
      <c r="C95" s="35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</row>
    <row r="96">
      <c r="A96" s="35"/>
      <c r="B96" s="35"/>
      <c r="C96" s="35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</row>
    <row r="97">
      <c r="A97" s="35"/>
      <c r="B97" s="35"/>
      <c r="C97" s="35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</row>
    <row r="98">
      <c r="A98" s="35"/>
      <c r="B98" s="35"/>
      <c r="C98" s="35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</row>
    <row r="99">
      <c r="A99" s="35"/>
      <c r="B99" s="35"/>
      <c r="C99" s="35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</row>
    <row r="100">
      <c r="A100" s="35"/>
      <c r="B100" s="35"/>
      <c r="C100" s="35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</row>
    <row r="101">
      <c r="A101" s="35"/>
      <c r="B101" s="35"/>
      <c r="C101" s="35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</row>
    <row r="102">
      <c r="A102" s="35"/>
      <c r="B102" s="35"/>
      <c r="C102" s="35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</row>
    <row r="103">
      <c r="A103" s="35"/>
      <c r="B103" s="35"/>
      <c r="C103" s="35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</row>
    <row r="104">
      <c r="A104" s="35"/>
      <c r="B104" s="35"/>
      <c r="C104" s="35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</row>
    <row r="105">
      <c r="A105" s="35"/>
      <c r="B105" s="35"/>
      <c r="C105" s="35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</row>
    <row r="106">
      <c r="A106" s="35"/>
      <c r="B106" s="35"/>
      <c r="C106" s="35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</row>
    <row r="107">
      <c r="A107" s="35"/>
      <c r="B107" s="35"/>
      <c r="C107" s="35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</row>
    <row r="108">
      <c r="A108" s="35"/>
      <c r="B108" s="35"/>
      <c r="C108" s="35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</row>
    <row r="109">
      <c r="A109" s="35"/>
      <c r="B109" s="35"/>
      <c r="C109" s="35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</row>
    <row r="110">
      <c r="A110" s="35"/>
      <c r="B110" s="35"/>
      <c r="C110" s="35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</row>
    <row r="111">
      <c r="A111" s="35"/>
      <c r="B111" s="35"/>
      <c r="C111" s="35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</row>
    <row r="112">
      <c r="A112" s="35"/>
      <c r="B112" s="35"/>
      <c r="C112" s="35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</row>
    <row r="113">
      <c r="A113" s="35"/>
      <c r="B113" s="35"/>
      <c r="C113" s="35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</row>
    <row r="114">
      <c r="A114" s="35"/>
      <c r="B114" s="35"/>
      <c r="C114" s="35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</row>
    <row r="115">
      <c r="A115" s="35"/>
      <c r="B115" s="35"/>
      <c r="C115" s="35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</row>
    <row r="116">
      <c r="A116" s="35"/>
      <c r="B116" s="35"/>
      <c r="C116" s="35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</row>
    <row r="117">
      <c r="A117" s="35"/>
      <c r="B117" s="35"/>
      <c r="C117" s="35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</row>
    <row r="118">
      <c r="A118" s="35"/>
      <c r="B118" s="35"/>
      <c r="C118" s="35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</row>
    <row r="119">
      <c r="A119" s="35"/>
      <c r="B119" s="35"/>
      <c r="C119" s="35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</row>
    <row r="120">
      <c r="A120" s="35"/>
      <c r="B120" s="35"/>
      <c r="C120" s="35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</row>
    <row r="121">
      <c r="A121" s="35"/>
      <c r="B121" s="35"/>
      <c r="C121" s="35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</row>
    <row r="122">
      <c r="A122" s="35"/>
      <c r="B122" s="35"/>
      <c r="C122" s="35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</row>
    <row r="123">
      <c r="A123" s="35"/>
      <c r="B123" s="35"/>
      <c r="C123" s="35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</row>
    <row r="124">
      <c r="A124" s="35"/>
      <c r="B124" s="35"/>
      <c r="C124" s="35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</row>
    <row r="125">
      <c r="A125" s="35"/>
      <c r="B125" s="35"/>
      <c r="C125" s="35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</row>
    <row r="126">
      <c r="A126" s="35"/>
      <c r="B126" s="35"/>
      <c r="C126" s="35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</row>
    <row r="127">
      <c r="A127" s="35"/>
      <c r="B127" s="35"/>
      <c r="C127" s="35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</row>
    <row r="128">
      <c r="A128" s="35"/>
      <c r="B128" s="35"/>
      <c r="C128" s="35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</row>
    <row r="129">
      <c r="A129" s="35"/>
      <c r="B129" s="35"/>
      <c r="C129" s="35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</row>
    <row r="130">
      <c r="A130" s="35"/>
      <c r="B130" s="35"/>
      <c r="C130" s="35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</row>
    <row r="131">
      <c r="A131" s="35"/>
      <c r="B131" s="35"/>
      <c r="C131" s="35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</row>
    <row r="132">
      <c r="A132" s="35"/>
      <c r="B132" s="35"/>
      <c r="C132" s="35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</row>
    <row r="133">
      <c r="A133" s="35"/>
      <c r="B133" s="35"/>
      <c r="C133" s="35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</row>
    <row r="134">
      <c r="A134" s="35"/>
      <c r="B134" s="35"/>
      <c r="C134" s="35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</row>
    <row r="135">
      <c r="A135" s="35"/>
      <c r="B135" s="35"/>
      <c r="C135" s="35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</row>
    <row r="136">
      <c r="A136" s="35"/>
      <c r="B136" s="35"/>
      <c r="C136" s="35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</row>
    <row r="137">
      <c r="A137" s="35"/>
      <c r="B137" s="35"/>
      <c r="C137" s="35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</row>
    <row r="138">
      <c r="A138" s="35"/>
      <c r="B138" s="35"/>
      <c r="C138" s="35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</row>
    <row r="139">
      <c r="A139" s="35"/>
      <c r="B139" s="35"/>
      <c r="C139" s="35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</row>
    <row r="140">
      <c r="A140" s="35"/>
      <c r="B140" s="35"/>
      <c r="C140" s="35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</row>
    <row r="141">
      <c r="A141" s="35"/>
      <c r="B141" s="35"/>
      <c r="C141" s="35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</row>
    <row r="142">
      <c r="A142" s="35"/>
      <c r="B142" s="35"/>
      <c r="C142" s="35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</row>
    <row r="143">
      <c r="A143" s="35"/>
      <c r="B143" s="35"/>
      <c r="C143" s="35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</row>
    <row r="144">
      <c r="A144" s="35"/>
      <c r="B144" s="35"/>
      <c r="C144" s="35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</row>
    <row r="145">
      <c r="A145" s="35"/>
      <c r="B145" s="35"/>
      <c r="C145" s="35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</row>
    <row r="146">
      <c r="A146" s="35"/>
      <c r="B146" s="35"/>
      <c r="C146" s="35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</row>
    <row r="147">
      <c r="A147" s="35"/>
      <c r="B147" s="35"/>
      <c r="C147" s="35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</row>
    <row r="148">
      <c r="A148" s="35"/>
      <c r="B148" s="35"/>
      <c r="C148" s="35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</row>
    <row r="149">
      <c r="A149" s="35"/>
      <c r="B149" s="35"/>
      <c r="C149" s="35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</row>
    <row r="150">
      <c r="A150" s="35"/>
      <c r="B150" s="35"/>
      <c r="C150" s="35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</row>
    <row r="151">
      <c r="A151" s="35"/>
      <c r="B151" s="35"/>
      <c r="C151" s="35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</row>
    <row r="152">
      <c r="A152" s="35"/>
      <c r="B152" s="35"/>
      <c r="C152" s="35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</row>
    <row r="153">
      <c r="A153" s="35"/>
      <c r="B153" s="35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</row>
    <row r="154">
      <c r="A154" s="35"/>
      <c r="B154" s="35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</row>
    <row r="155">
      <c r="A155" s="35"/>
      <c r="B155" s="35"/>
      <c r="C155" s="35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</row>
    <row r="156">
      <c r="A156" s="35"/>
      <c r="B156" s="35"/>
      <c r="C156" s="35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</row>
    <row r="157">
      <c r="A157" s="35"/>
      <c r="B157" s="35"/>
      <c r="C157" s="35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</row>
    <row r="158">
      <c r="A158" s="35"/>
      <c r="B158" s="35"/>
      <c r="C158" s="35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</row>
    <row r="159">
      <c r="A159" s="35"/>
      <c r="B159" s="35"/>
      <c r="C159" s="35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</row>
    <row r="160">
      <c r="A160" s="35"/>
      <c r="B160" s="35"/>
      <c r="C160" s="35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</row>
    <row r="161">
      <c r="A161" s="35"/>
      <c r="B161" s="35"/>
      <c r="C161" s="35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</row>
    <row r="162">
      <c r="A162" s="35"/>
      <c r="B162" s="35"/>
      <c r="C162" s="35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</row>
    <row r="163">
      <c r="A163" s="35"/>
      <c r="B163" s="35"/>
      <c r="C163" s="35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</row>
    <row r="164">
      <c r="A164" s="35"/>
      <c r="B164" s="35"/>
      <c r="C164" s="35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</row>
    <row r="165">
      <c r="A165" s="35"/>
      <c r="B165" s="35"/>
      <c r="C165" s="35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</row>
    <row r="166">
      <c r="A166" s="35"/>
      <c r="B166" s="35"/>
      <c r="C166" s="35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</row>
    <row r="167">
      <c r="A167" s="35"/>
      <c r="B167" s="35"/>
      <c r="C167" s="35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</row>
    <row r="168">
      <c r="A168" s="35"/>
      <c r="B168" s="35"/>
      <c r="C168" s="35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</row>
    <row r="169">
      <c r="A169" s="35"/>
      <c r="B169" s="35"/>
      <c r="C169" s="35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</row>
    <row r="170">
      <c r="A170" s="35"/>
      <c r="B170" s="35"/>
      <c r="C170" s="35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</row>
    <row r="171">
      <c r="A171" s="35"/>
      <c r="B171" s="35"/>
      <c r="C171" s="35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</row>
    <row r="172">
      <c r="A172" s="35"/>
      <c r="B172" s="35"/>
      <c r="C172" s="35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</row>
    <row r="173">
      <c r="A173" s="35"/>
      <c r="B173" s="35"/>
      <c r="C173" s="35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</row>
    <row r="174">
      <c r="A174" s="35"/>
      <c r="B174" s="35"/>
      <c r="C174" s="35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</row>
    <row r="175">
      <c r="A175" s="35"/>
      <c r="B175" s="35"/>
      <c r="C175" s="35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</row>
    <row r="176">
      <c r="A176" s="35"/>
      <c r="B176" s="35"/>
      <c r="C176" s="35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</row>
    <row r="177">
      <c r="A177" s="35"/>
      <c r="B177" s="35"/>
      <c r="C177" s="35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</row>
    <row r="178">
      <c r="A178" s="35"/>
      <c r="B178" s="35"/>
      <c r="C178" s="35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</row>
    <row r="179">
      <c r="A179" s="35"/>
      <c r="B179" s="35"/>
      <c r="C179" s="35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</row>
    <row r="180">
      <c r="A180" s="35"/>
      <c r="B180" s="35"/>
      <c r="C180" s="35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</row>
    <row r="181">
      <c r="A181" s="35"/>
      <c r="B181" s="35"/>
      <c r="C181" s="35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</row>
    <row r="182">
      <c r="A182" s="35"/>
      <c r="B182" s="35"/>
      <c r="C182" s="35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</row>
    <row r="183">
      <c r="A183" s="35"/>
      <c r="B183" s="35"/>
      <c r="C183" s="35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</row>
    <row r="184">
      <c r="A184" s="35"/>
      <c r="B184" s="35"/>
      <c r="C184" s="35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</row>
    <row r="185">
      <c r="A185" s="35"/>
      <c r="B185" s="35"/>
      <c r="C185" s="35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</row>
    <row r="186">
      <c r="A186" s="35"/>
      <c r="B186" s="35"/>
      <c r="C186" s="35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</row>
    <row r="187">
      <c r="A187" s="35"/>
      <c r="B187" s="35"/>
      <c r="C187" s="35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</row>
    <row r="188">
      <c r="A188" s="35"/>
      <c r="B188" s="35"/>
      <c r="C188" s="35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</row>
    <row r="189">
      <c r="A189" s="35"/>
      <c r="B189" s="35"/>
      <c r="C189" s="35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</row>
    <row r="190">
      <c r="A190" s="35"/>
      <c r="B190" s="35"/>
      <c r="C190" s="35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</row>
    <row r="191">
      <c r="A191" s="35"/>
      <c r="B191" s="35"/>
      <c r="C191" s="35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</row>
    <row r="192">
      <c r="A192" s="35"/>
      <c r="B192" s="35"/>
      <c r="C192" s="35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</row>
    <row r="193">
      <c r="A193" s="35"/>
      <c r="B193" s="35"/>
      <c r="C193" s="35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</row>
    <row r="194">
      <c r="A194" s="35"/>
      <c r="B194" s="35"/>
      <c r="C194" s="35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</row>
    <row r="195">
      <c r="A195" s="35"/>
      <c r="B195" s="35"/>
      <c r="C195" s="35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</row>
    <row r="196">
      <c r="A196" s="35"/>
      <c r="B196" s="35"/>
      <c r="C196" s="35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</row>
    <row r="197">
      <c r="A197" s="35"/>
      <c r="B197" s="35"/>
      <c r="C197" s="35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</row>
    <row r="198">
      <c r="A198" s="35"/>
      <c r="B198" s="35"/>
      <c r="C198" s="35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</row>
    <row r="199">
      <c r="A199" s="35"/>
      <c r="B199" s="35"/>
      <c r="C199" s="35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</row>
    <row r="200">
      <c r="A200" s="35"/>
      <c r="B200" s="35"/>
      <c r="C200" s="35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</row>
    <row r="201">
      <c r="A201" s="35"/>
      <c r="B201" s="35"/>
      <c r="C201" s="35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</row>
    <row r="202">
      <c r="A202" s="35"/>
      <c r="B202" s="35"/>
      <c r="C202" s="35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</row>
    <row r="203">
      <c r="A203" s="35"/>
      <c r="B203" s="35"/>
      <c r="C203" s="35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</row>
    <row r="204">
      <c r="A204" s="35"/>
      <c r="B204" s="35"/>
      <c r="C204" s="35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</row>
    <row r="205">
      <c r="A205" s="35"/>
      <c r="B205" s="35"/>
      <c r="C205" s="35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</row>
    <row r="206">
      <c r="A206" s="35"/>
      <c r="B206" s="35"/>
      <c r="C206" s="35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</row>
    <row r="207">
      <c r="A207" s="35"/>
      <c r="B207" s="35"/>
      <c r="C207" s="35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</row>
    <row r="208">
      <c r="A208" s="35"/>
      <c r="B208" s="35"/>
      <c r="C208" s="35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</row>
    <row r="209">
      <c r="A209" s="35"/>
      <c r="B209" s="35"/>
      <c r="C209" s="35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</row>
    <row r="210">
      <c r="A210" s="35"/>
      <c r="B210" s="35"/>
      <c r="C210" s="35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</row>
    <row r="211">
      <c r="A211" s="35"/>
      <c r="B211" s="35"/>
      <c r="C211" s="35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</row>
    <row r="212">
      <c r="A212" s="35"/>
      <c r="B212" s="35"/>
      <c r="C212" s="35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</row>
    <row r="213">
      <c r="A213" s="35"/>
      <c r="B213" s="35"/>
      <c r="C213" s="35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</row>
    <row r="214">
      <c r="A214" s="35"/>
      <c r="B214" s="35"/>
      <c r="C214" s="35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</row>
    <row r="215">
      <c r="A215" s="35"/>
      <c r="B215" s="35"/>
      <c r="C215" s="35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</row>
    <row r="216">
      <c r="A216" s="35"/>
      <c r="B216" s="35"/>
      <c r="C216" s="35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</row>
    <row r="217">
      <c r="A217" s="35"/>
      <c r="B217" s="35"/>
      <c r="C217" s="35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</row>
    <row r="218">
      <c r="A218" s="35"/>
      <c r="B218" s="35"/>
      <c r="C218" s="35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</row>
    <row r="219">
      <c r="A219" s="35"/>
      <c r="B219" s="35"/>
      <c r="C219" s="35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</row>
    <row r="220">
      <c r="A220" s="35"/>
      <c r="B220" s="35"/>
      <c r="C220" s="35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</row>
    <row r="221">
      <c r="A221" s="35"/>
      <c r="B221" s="35"/>
      <c r="C221" s="35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</row>
    <row r="222">
      <c r="A222" s="35"/>
      <c r="B222" s="35"/>
      <c r="C222" s="35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</row>
    <row r="223">
      <c r="A223" s="35"/>
      <c r="B223" s="35"/>
      <c r="C223" s="35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</row>
    <row r="224">
      <c r="A224" s="35"/>
      <c r="B224" s="35"/>
      <c r="C224" s="35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</row>
    <row r="225">
      <c r="A225" s="35"/>
      <c r="B225" s="35"/>
      <c r="C225" s="35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</row>
    <row r="226">
      <c r="A226" s="35"/>
      <c r="B226" s="35"/>
      <c r="C226" s="35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</row>
    <row r="227">
      <c r="A227" s="35"/>
      <c r="B227" s="35"/>
      <c r="C227" s="35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</row>
    <row r="228">
      <c r="A228" s="35"/>
      <c r="B228" s="35"/>
      <c r="C228" s="35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</row>
    <row r="229">
      <c r="A229" s="35"/>
      <c r="B229" s="35"/>
      <c r="C229" s="35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</row>
    <row r="230">
      <c r="A230" s="35"/>
      <c r="B230" s="35"/>
      <c r="C230" s="35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</row>
    <row r="231">
      <c r="A231" s="35"/>
      <c r="B231" s="35"/>
      <c r="C231" s="35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</row>
    <row r="232">
      <c r="A232" s="35"/>
      <c r="B232" s="35"/>
      <c r="C232" s="35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</row>
    <row r="233">
      <c r="A233" s="35"/>
      <c r="B233" s="35"/>
      <c r="C233" s="35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</row>
    <row r="234">
      <c r="A234" s="35"/>
      <c r="B234" s="35"/>
      <c r="C234" s="35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</row>
    <row r="235">
      <c r="A235" s="35"/>
      <c r="B235" s="35"/>
      <c r="C235" s="35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</row>
    <row r="236">
      <c r="A236" s="35"/>
      <c r="B236" s="35"/>
      <c r="C236" s="35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</row>
    <row r="237">
      <c r="A237" s="35"/>
      <c r="B237" s="35"/>
      <c r="C237" s="35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</row>
    <row r="238">
      <c r="A238" s="35"/>
      <c r="B238" s="35"/>
      <c r="C238" s="35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</row>
    <row r="239">
      <c r="A239" s="35"/>
      <c r="B239" s="35"/>
      <c r="C239" s="35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</row>
    <row r="240">
      <c r="A240" s="35"/>
      <c r="B240" s="35"/>
      <c r="C240" s="35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</row>
    <row r="241">
      <c r="A241" s="35"/>
      <c r="B241" s="35"/>
      <c r="C241" s="35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</row>
    <row r="242">
      <c r="A242" s="35"/>
      <c r="B242" s="35"/>
      <c r="C242" s="35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</row>
    <row r="243">
      <c r="A243" s="35"/>
      <c r="B243" s="35"/>
      <c r="C243" s="35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</row>
    <row r="244">
      <c r="A244" s="35"/>
      <c r="B244" s="35"/>
      <c r="C244" s="35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</row>
    <row r="245">
      <c r="A245" s="35"/>
      <c r="B245" s="35"/>
      <c r="C245" s="35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</row>
    <row r="246">
      <c r="A246" s="35"/>
      <c r="B246" s="35"/>
      <c r="C246" s="35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</row>
    <row r="247">
      <c r="A247" s="35"/>
      <c r="B247" s="35"/>
      <c r="C247" s="35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</row>
    <row r="248">
      <c r="A248" s="35"/>
      <c r="B248" s="35"/>
      <c r="C248" s="35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</row>
    <row r="249">
      <c r="A249" s="35"/>
      <c r="B249" s="35"/>
      <c r="C249" s="35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</row>
    <row r="250">
      <c r="A250" s="35"/>
      <c r="B250" s="35"/>
      <c r="C250" s="35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</row>
    <row r="251">
      <c r="A251" s="35"/>
      <c r="B251" s="35"/>
      <c r="C251" s="35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</row>
    <row r="252">
      <c r="A252" s="35"/>
      <c r="B252" s="35"/>
      <c r="C252" s="35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</row>
    <row r="253">
      <c r="A253" s="35"/>
      <c r="B253" s="35"/>
      <c r="C253" s="35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</row>
    <row r="254">
      <c r="A254" s="35"/>
      <c r="B254" s="35"/>
      <c r="C254" s="35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</row>
    <row r="255">
      <c r="A255" s="35"/>
      <c r="B255" s="35"/>
      <c r="C255" s="35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</row>
    <row r="256">
      <c r="A256" s="35"/>
      <c r="B256" s="35"/>
      <c r="C256" s="35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</row>
    <row r="257">
      <c r="A257" s="35"/>
      <c r="B257" s="35"/>
      <c r="C257" s="35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</row>
    <row r="258">
      <c r="A258" s="35"/>
      <c r="B258" s="35"/>
      <c r="C258" s="35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</row>
    <row r="259">
      <c r="A259" s="35"/>
      <c r="B259" s="35"/>
      <c r="C259" s="35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</row>
    <row r="260">
      <c r="A260" s="35"/>
      <c r="B260" s="35"/>
      <c r="C260" s="35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</row>
    <row r="261">
      <c r="A261" s="35"/>
      <c r="B261" s="35"/>
      <c r="C261" s="35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</row>
    <row r="262">
      <c r="A262" s="35"/>
      <c r="B262" s="35"/>
      <c r="C262" s="35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</row>
    <row r="263">
      <c r="A263" s="35"/>
      <c r="B263" s="35"/>
      <c r="C263" s="35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</row>
    <row r="264">
      <c r="A264" s="35"/>
      <c r="B264" s="35"/>
      <c r="C264" s="35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</row>
    <row r="265">
      <c r="A265" s="35"/>
      <c r="B265" s="35"/>
      <c r="C265" s="35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</row>
    <row r="266">
      <c r="A266" s="35"/>
      <c r="B266" s="35"/>
      <c r="C266" s="35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</row>
    <row r="267">
      <c r="A267" s="35"/>
      <c r="B267" s="35"/>
      <c r="C267" s="35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</row>
    <row r="268">
      <c r="A268" s="35"/>
      <c r="B268" s="35"/>
      <c r="C268" s="35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</row>
    <row r="269">
      <c r="A269" s="35"/>
      <c r="B269" s="35"/>
      <c r="C269" s="35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</row>
    <row r="270">
      <c r="A270" s="35"/>
      <c r="B270" s="35"/>
      <c r="C270" s="35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</row>
    <row r="271">
      <c r="A271" s="35"/>
      <c r="B271" s="35"/>
      <c r="C271" s="35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</row>
    <row r="272">
      <c r="A272" s="35"/>
      <c r="B272" s="35"/>
      <c r="C272" s="35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</row>
    <row r="273">
      <c r="A273" s="35"/>
      <c r="B273" s="35"/>
      <c r="C273" s="35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</row>
    <row r="274">
      <c r="A274" s="35"/>
      <c r="B274" s="35"/>
      <c r="C274" s="35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</row>
    <row r="275">
      <c r="A275" s="35"/>
      <c r="B275" s="35"/>
      <c r="C275" s="35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</row>
    <row r="276">
      <c r="A276" s="35"/>
      <c r="B276" s="35"/>
      <c r="C276" s="35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</row>
    <row r="277">
      <c r="A277" s="35"/>
      <c r="B277" s="35"/>
      <c r="C277" s="35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</row>
    <row r="278">
      <c r="A278" s="35"/>
      <c r="B278" s="35"/>
      <c r="C278" s="35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</row>
    <row r="279">
      <c r="A279" s="35"/>
      <c r="B279" s="35"/>
      <c r="C279" s="35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</row>
    <row r="280">
      <c r="A280" s="35"/>
      <c r="B280" s="35"/>
      <c r="C280" s="35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</row>
    <row r="281">
      <c r="A281" s="35"/>
      <c r="B281" s="35"/>
      <c r="C281" s="35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</row>
    <row r="282">
      <c r="A282" s="35"/>
      <c r="B282" s="35"/>
      <c r="C282" s="35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</row>
    <row r="283">
      <c r="A283" s="35"/>
      <c r="B283" s="35"/>
      <c r="C283" s="35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</row>
    <row r="284">
      <c r="A284" s="35"/>
      <c r="B284" s="35"/>
      <c r="C284" s="35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</row>
    <row r="285">
      <c r="A285" s="35"/>
      <c r="B285" s="35"/>
      <c r="C285" s="35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</row>
    <row r="286">
      <c r="A286" s="35"/>
      <c r="B286" s="35"/>
      <c r="C286" s="35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</row>
    <row r="287">
      <c r="A287" s="35"/>
      <c r="B287" s="35"/>
      <c r="C287" s="35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</row>
    <row r="288">
      <c r="A288" s="35"/>
      <c r="B288" s="35"/>
      <c r="C288" s="35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</row>
    <row r="289">
      <c r="A289" s="35"/>
      <c r="B289" s="35"/>
      <c r="C289" s="35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</row>
    <row r="290">
      <c r="A290" s="35"/>
      <c r="B290" s="35"/>
      <c r="C290" s="35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</row>
    <row r="291">
      <c r="A291" s="35"/>
      <c r="B291" s="35"/>
      <c r="C291" s="35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</row>
    <row r="292">
      <c r="A292" s="35"/>
      <c r="B292" s="35"/>
      <c r="C292" s="35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</row>
    <row r="293">
      <c r="A293" s="35"/>
      <c r="B293" s="35"/>
      <c r="C293" s="35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</row>
    <row r="294">
      <c r="A294" s="35"/>
      <c r="B294" s="35"/>
      <c r="C294" s="35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</row>
    <row r="295">
      <c r="A295" s="35"/>
      <c r="B295" s="35"/>
      <c r="C295" s="35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</row>
    <row r="296">
      <c r="A296" s="35"/>
      <c r="B296" s="35"/>
      <c r="C296" s="35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</row>
    <row r="297">
      <c r="A297" s="35"/>
      <c r="B297" s="35"/>
      <c r="C297" s="35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</row>
    <row r="298">
      <c r="A298" s="35"/>
      <c r="B298" s="35"/>
      <c r="C298" s="35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</row>
    <row r="299">
      <c r="A299" s="35"/>
      <c r="B299" s="35"/>
      <c r="C299" s="35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</row>
    <row r="300">
      <c r="A300" s="35"/>
      <c r="B300" s="35"/>
      <c r="C300" s="35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</row>
    <row r="301">
      <c r="A301" s="35"/>
      <c r="B301" s="35"/>
      <c r="C301" s="35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</row>
    <row r="302">
      <c r="A302" s="35"/>
      <c r="B302" s="35"/>
      <c r="C302" s="35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</row>
    <row r="303">
      <c r="A303" s="35"/>
      <c r="B303" s="35"/>
      <c r="C303" s="35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</row>
    <row r="304">
      <c r="A304" s="35"/>
      <c r="B304" s="35"/>
      <c r="C304" s="35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</row>
    <row r="305">
      <c r="A305" s="35"/>
      <c r="B305" s="35"/>
      <c r="C305" s="35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</row>
    <row r="306">
      <c r="A306" s="35"/>
      <c r="B306" s="35"/>
      <c r="C306" s="35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</row>
    <row r="307">
      <c r="A307" s="35"/>
      <c r="B307" s="35"/>
      <c r="C307" s="35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</row>
    <row r="308">
      <c r="A308" s="35"/>
      <c r="B308" s="35"/>
      <c r="C308" s="35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</row>
    <row r="309">
      <c r="A309" s="35"/>
      <c r="B309" s="35"/>
      <c r="C309" s="35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</row>
    <row r="310">
      <c r="A310" s="35"/>
      <c r="B310" s="35"/>
      <c r="C310" s="35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</row>
    <row r="311">
      <c r="A311" s="35"/>
      <c r="B311" s="35"/>
      <c r="C311" s="35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</row>
    <row r="312">
      <c r="A312" s="35"/>
      <c r="B312" s="35"/>
      <c r="C312" s="35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</row>
    <row r="313">
      <c r="A313" s="35"/>
      <c r="B313" s="35"/>
      <c r="C313" s="35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</row>
    <row r="314">
      <c r="A314" s="35"/>
      <c r="B314" s="35"/>
      <c r="C314" s="35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</row>
    <row r="315">
      <c r="A315" s="35"/>
      <c r="B315" s="35"/>
      <c r="C315" s="35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</row>
    <row r="316">
      <c r="A316" s="35"/>
      <c r="B316" s="35"/>
      <c r="C316" s="35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</row>
    <row r="317">
      <c r="A317" s="35"/>
      <c r="B317" s="35"/>
      <c r="C317" s="35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</row>
    <row r="318">
      <c r="A318" s="35"/>
      <c r="B318" s="35"/>
      <c r="C318" s="35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</row>
    <row r="319">
      <c r="A319" s="35"/>
      <c r="B319" s="35"/>
      <c r="C319" s="35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</row>
    <row r="320">
      <c r="A320" s="35"/>
      <c r="B320" s="35"/>
      <c r="C320" s="35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</row>
    <row r="321">
      <c r="A321" s="35"/>
      <c r="B321" s="35"/>
      <c r="C321" s="35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</row>
    <row r="322">
      <c r="A322" s="35"/>
      <c r="B322" s="35"/>
      <c r="C322" s="35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</row>
    <row r="323">
      <c r="A323" s="35"/>
      <c r="B323" s="35"/>
      <c r="C323" s="35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</row>
    <row r="324">
      <c r="A324" s="35"/>
      <c r="B324" s="35"/>
      <c r="C324" s="35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</row>
    <row r="325">
      <c r="A325" s="35"/>
      <c r="B325" s="35"/>
      <c r="C325" s="35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</row>
    <row r="326">
      <c r="A326" s="35"/>
      <c r="B326" s="35"/>
      <c r="C326" s="35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</row>
    <row r="327">
      <c r="A327" s="35"/>
      <c r="B327" s="35"/>
      <c r="C327" s="35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</row>
    <row r="328">
      <c r="A328" s="35"/>
      <c r="B328" s="35"/>
      <c r="C328" s="35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</row>
    <row r="329">
      <c r="A329" s="35"/>
      <c r="B329" s="35"/>
      <c r="C329" s="35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</row>
    <row r="330">
      <c r="A330" s="35"/>
      <c r="B330" s="35"/>
      <c r="C330" s="35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</row>
    <row r="331">
      <c r="A331" s="35"/>
      <c r="B331" s="35"/>
      <c r="C331" s="35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</row>
    <row r="332">
      <c r="A332" s="35"/>
      <c r="B332" s="35"/>
      <c r="C332" s="35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</row>
    <row r="333">
      <c r="A333" s="35"/>
      <c r="B333" s="35"/>
      <c r="C333" s="35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</row>
    <row r="334">
      <c r="A334" s="35"/>
      <c r="B334" s="35"/>
      <c r="C334" s="35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</row>
    <row r="335">
      <c r="A335" s="35"/>
      <c r="B335" s="35"/>
      <c r="C335" s="35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</row>
    <row r="336">
      <c r="A336" s="35"/>
      <c r="B336" s="35"/>
      <c r="C336" s="35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</row>
    <row r="337">
      <c r="A337" s="35"/>
      <c r="B337" s="35"/>
      <c r="C337" s="35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</row>
    <row r="338">
      <c r="A338" s="35"/>
      <c r="B338" s="35"/>
      <c r="C338" s="35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</row>
    <row r="339">
      <c r="A339" s="35"/>
      <c r="B339" s="35"/>
      <c r="C339" s="35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</row>
    <row r="340">
      <c r="A340" s="35"/>
      <c r="B340" s="35"/>
      <c r="C340" s="35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</row>
    <row r="341">
      <c r="A341" s="35"/>
      <c r="B341" s="35"/>
      <c r="C341" s="35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</row>
    <row r="342">
      <c r="A342" s="35"/>
      <c r="B342" s="35"/>
      <c r="C342" s="35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</row>
    <row r="343">
      <c r="A343" s="35"/>
      <c r="B343" s="35"/>
      <c r="C343" s="35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</row>
    <row r="344">
      <c r="A344" s="35"/>
      <c r="B344" s="35"/>
      <c r="C344" s="35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</row>
    <row r="345">
      <c r="A345" s="35"/>
      <c r="B345" s="35"/>
      <c r="C345" s="35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</row>
    <row r="346">
      <c r="A346" s="35"/>
      <c r="B346" s="35"/>
      <c r="C346" s="35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</row>
    <row r="347">
      <c r="A347" s="35"/>
      <c r="B347" s="35"/>
      <c r="C347" s="35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</row>
    <row r="348">
      <c r="A348" s="35"/>
      <c r="B348" s="35"/>
      <c r="C348" s="35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</row>
    <row r="349">
      <c r="A349" s="35"/>
      <c r="B349" s="35"/>
      <c r="C349" s="35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</row>
    <row r="350">
      <c r="A350" s="35"/>
      <c r="B350" s="35"/>
      <c r="C350" s="35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</row>
    <row r="351">
      <c r="A351" s="35"/>
      <c r="B351" s="35"/>
      <c r="C351" s="35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</row>
    <row r="352">
      <c r="A352" s="35"/>
      <c r="B352" s="35"/>
      <c r="C352" s="35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</row>
    <row r="353">
      <c r="A353" s="35"/>
      <c r="B353" s="35"/>
      <c r="C353" s="35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</row>
    <row r="354">
      <c r="A354" s="35"/>
      <c r="B354" s="35"/>
      <c r="C354" s="35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</row>
    <row r="355">
      <c r="A355" s="35"/>
      <c r="B355" s="35"/>
      <c r="C355" s="35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</row>
    <row r="356">
      <c r="A356" s="35"/>
      <c r="B356" s="35"/>
      <c r="C356" s="35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</row>
    <row r="357">
      <c r="A357" s="35"/>
      <c r="B357" s="35"/>
      <c r="C357" s="35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</row>
    <row r="358">
      <c r="A358" s="35"/>
      <c r="B358" s="35"/>
      <c r="C358" s="35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</row>
    <row r="359">
      <c r="A359" s="35"/>
      <c r="B359" s="35"/>
      <c r="C359" s="35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</row>
    <row r="360">
      <c r="A360" s="35"/>
      <c r="B360" s="35"/>
      <c r="C360" s="35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</row>
    <row r="361">
      <c r="A361" s="35"/>
      <c r="B361" s="35"/>
      <c r="C361" s="35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</row>
    <row r="362">
      <c r="A362" s="35"/>
      <c r="B362" s="35"/>
      <c r="C362" s="35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</row>
    <row r="363">
      <c r="A363" s="35"/>
      <c r="B363" s="35"/>
      <c r="C363" s="35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</row>
    <row r="364">
      <c r="A364" s="35"/>
      <c r="B364" s="35"/>
      <c r="C364" s="35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</row>
    <row r="365">
      <c r="A365" s="35"/>
      <c r="B365" s="35"/>
      <c r="C365" s="35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</row>
    <row r="366">
      <c r="A366" s="35"/>
      <c r="B366" s="35"/>
      <c r="C366" s="35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</row>
    <row r="367">
      <c r="A367" s="35"/>
      <c r="B367" s="35"/>
      <c r="C367" s="35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</row>
    <row r="368">
      <c r="A368" s="35"/>
      <c r="B368" s="35"/>
      <c r="C368" s="35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</row>
    <row r="369">
      <c r="A369" s="35"/>
      <c r="B369" s="35"/>
      <c r="C369" s="35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</row>
    <row r="370">
      <c r="A370" s="35"/>
      <c r="B370" s="35"/>
      <c r="C370" s="35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</row>
    <row r="371">
      <c r="A371" s="35"/>
      <c r="B371" s="35"/>
      <c r="C371" s="35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</row>
    <row r="372">
      <c r="A372" s="35"/>
      <c r="B372" s="35"/>
      <c r="C372" s="35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</row>
    <row r="373">
      <c r="A373" s="35"/>
      <c r="B373" s="35"/>
      <c r="C373" s="35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</row>
    <row r="374">
      <c r="A374" s="35"/>
      <c r="B374" s="35"/>
      <c r="C374" s="35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</row>
    <row r="375">
      <c r="A375" s="35"/>
      <c r="B375" s="35"/>
      <c r="C375" s="35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</row>
    <row r="376">
      <c r="A376" s="35"/>
      <c r="B376" s="35"/>
      <c r="C376" s="35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</row>
    <row r="377">
      <c r="A377" s="35"/>
      <c r="B377" s="35"/>
      <c r="C377" s="35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</row>
    <row r="378">
      <c r="A378" s="35"/>
      <c r="B378" s="35"/>
      <c r="C378" s="35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</row>
    <row r="379">
      <c r="A379" s="35"/>
      <c r="B379" s="35"/>
      <c r="C379" s="35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</row>
    <row r="380">
      <c r="A380" s="35"/>
      <c r="B380" s="35"/>
      <c r="C380" s="35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</row>
    <row r="381">
      <c r="A381" s="35"/>
      <c r="B381" s="35"/>
      <c r="C381" s="35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</row>
    <row r="382">
      <c r="A382" s="35"/>
      <c r="B382" s="35"/>
      <c r="C382" s="35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</row>
    <row r="383">
      <c r="A383" s="35"/>
      <c r="B383" s="35"/>
      <c r="C383" s="35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</row>
    <row r="384">
      <c r="A384" s="35"/>
      <c r="B384" s="35"/>
      <c r="C384" s="35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</row>
    <row r="385">
      <c r="A385" s="35"/>
      <c r="B385" s="35"/>
      <c r="C385" s="35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</row>
    <row r="386">
      <c r="A386" s="35"/>
      <c r="B386" s="35"/>
      <c r="C386" s="35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</row>
    <row r="387">
      <c r="A387" s="35"/>
      <c r="B387" s="35"/>
      <c r="C387" s="35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</row>
    <row r="388">
      <c r="A388" s="35"/>
      <c r="B388" s="35"/>
      <c r="C388" s="35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</row>
    <row r="389">
      <c r="A389" s="35"/>
      <c r="B389" s="35"/>
      <c r="C389" s="35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</row>
    <row r="390">
      <c r="A390" s="35"/>
      <c r="B390" s="35"/>
      <c r="C390" s="35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</row>
    <row r="391">
      <c r="A391" s="35"/>
      <c r="B391" s="35"/>
      <c r="C391" s="35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</row>
    <row r="392">
      <c r="A392" s="35"/>
      <c r="B392" s="35"/>
      <c r="C392" s="35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</row>
    <row r="393">
      <c r="A393" s="35"/>
      <c r="B393" s="35"/>
      <c r="C393" s="35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</row>
    <row r="394">
      <c r="A394" s="35"/>
      <c r="B394" s="35"/>
      <c r="C394" s="35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</row>
    <row r="395">
      <c r="A395" s="35"/>
      <c r="B395" s="35"/>
      <c r="C395" s="35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</row>
    <row r="396">
      <c r="A396" s="35"/>
      <c r="B396" s="35"/>
      <c r="C396" s="35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</row>
    <row r="397">
      <c r="A397" s="35"/>
      <c r="B397" s="35"/>
      <c r="C397" s="35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</row>
    <row r="398">
      <c r="A398" s="35"/>
      <c r="B398" s="35"/>
      <c r="C398" s="35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</row>
    <row r="399">
      <c r="A399" s="35"/>
      <c r="B399" s="35"/>
      <c r="C399" s="35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</row>
    <row r="400">
      <c r="A400" s="35"/>
      <c r="B400" s="35"/>
      <c r="C400" s="35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</row>
    <row r="401">
      <c r="A401" s="35"/>
      <c r="B401" s="35"/>
      <c r="C401" s="35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</row>
    <row r="402">
      <c r="A402" s="35"/>
      <c r="B402" s="35"/>
      <c r="C402" s="35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</row>
    <row r="403">
      <c r="A403" s="35"/>
      <c r="B403" s="35"/>
      <c r="C403" s="35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</row>
    <row r="404">
      <c r="A404" s="35"/>
      <c r="B404" s="35"/>
      <c r="C404" s="35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</row>
    <row r="405">
      <c r="A405" s="35"/>
      <c r="B405" s="35"/>
      <c r="C405" s="35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</row>
    <row r="406">
      <c r="A406" s="35"/>
      <c r="B406" s="35"/>
      <c r="C406" s="35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</row>
    <row r="407">
      <c r="A407" s="35"/>
      <c r="B407" s="35"/>
      <c r="C407" s="35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</row>
    <row r="408">
      <c r="A408" s="35"/>
      <c r="B408" s="35"/>
      <c r="C408" s="35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</row>
    <row r="409">
      <c r="A409" s="35"/>
      <c r="B409" s="35"/>
      <c r="C409" s="35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</row>
    <row r="410">
      <c r="A410" s="35"/>
      <c r="B410" s="35"/>
      <c r="C410" s="35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</row>
    <row r="411">
      <c r="A411" s="35"/>
      <c r="B411" s="35"/>
      <c r="C411" s="35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</row>
    <row r="412">
      <c r="A412" s="35"/>
      <c r="B412" s="35"/>
      <c r="C412" s="35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</row>
    <row r="413">
      <c r="A413" s="35"/>
      <c r="B413" s="35"/>
      <c r="C413" s="35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</row>
    <row r="414">
      <c r="A414" s="35"/>
      <c r="B414" s="35"/>
      <c r="C414" s="35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</row>
    <row r="415">
      <c r="A415" s="35"/>
      <c r="B415" s="35"/>
      <c r="C415" s="35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</row>
    <row r="416">
      <c r="A416" s="35"/>
      <c r="B416" s="35"/>
      <c r="C416" s="35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</row>
    <row r="417">
      <c r="A417" s="35"/>
      <c r="B417" s="35"/>
      <c r="C417" s="35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</row>
    <row r="418">
      <c r="A418" s="35"/>
      <c r="B418" s="35"/>
      <c r="C418" s="35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</row>
    <row r="419">
      <c r="A419" s="35"/>
      <c r="B419" s="35"/>
      <c r="C419" s="35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</row>
    <row r="420">
      <c r="A420" s="35"/>
      <c r="B420" s="35"/>
      <c r="C420" s="35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</row>
    <row r="421">
      <c r="A421" s="35"/>
      <c r="B421" s="35"/>
      <c r="C421" s="35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</row>
    <row r="422">
      <c r="A422" s="35"/>
      <c r="B422" s="35"/>
      <c r="C422" s="35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</row>
    <row r="423">
      <c r="A423" s="35"/>
      <c r="B423" s="35"/>
      <c r="C423" s="35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</row>
    <row r="424">
      <c r="A424" s="35"/>
      <c r="B424" s="35"/>
      <c r="C424" s="35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</row>
    <row r="425">
      <c r="A425" s="35"/>
      <c r="B425" s="35"/>
      <c r="C425" s="35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</row>
    <row r="426">
      <c r="A426" s="35"/>
      <c r="B426" s="35"/>
      <c r="C426" s="35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</row>
    <row r="427">
      <c r="A427" s="35"/>
      <c r="B427" s="35"/>
      <c r="C427" s="35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</row>
    <row r="428">
      <c r="A428" s="35"/>
      <c r="B428" s="35"/>
      <c r="C428" s="35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</row>
    <row r="429">
      <c r="A429" s="35"/>
      <c r="B429" s="35"/>
      <c r="C429" s="35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</row>
    <row r="430">
      <c r="A430" s="35"/>
      <c r="B430" s="35"/>
      <c r="C430" s="35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</row>
    <row r="431">
      <c r="A431" s="35"/>
      <c r="B431" s="35"/>
      <c r="C431" s="35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</row>
    <row r="432">
      <c r="A432" s="35"/>
      <c r="B432" s="35"/>
      <c r="C432" s="35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</row>
    <row r="433">
      <c r="A433" s="35"/>
      <c r="B433" s="35"/>
      <c r="C433" s="35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</row>
    <row r="434">
      <c r="A434" s="35"/>
      <c r="B434" s="35"/>
      <c r="C434" s="35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</row>
    <row r="435">
      <c r="A435" s="35"/>
      <c r="B435" s="35"/>
      <c r="C435" s="35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</row>
    <row r="436">
      <c r="A436" s="35"/>
      <c r="B436" s="35"/>
      <c r="C436" s="35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</row>
    <row r="437">
      <c r="A437" s="35"/>
      <c r="B437" s="35"/>
      <c r="C437" s="35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</row>
    <row r="438">
      <c r="A438" s="35"/>
      <c r="B438" s="35"/>
      <c r="C438" s="35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</row>
    <row r="439">
      <c r="A439" s="35"/>
      <c r="B439" s="35"/>
      <c r="C439" s="35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</row>
    <row r="440">
      <c r="A440" s="35"/>
      <c r="B440" s="35"/>
      <c r="C440" s="35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</row>
    <row r="441">
      <c r="A441" s="35"/>
      <c r="B441" s="35"/>
      <c r="C441" s="35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</row>
    <row r="442">
      <c r="A442" s="35"/>
      <c r="B442" s="35"/>
      <c r="C442" s="35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</row>
    <row r="443">
      <c r="A443" s="35"/>
      <c r="B443" s="35"/>
      <c r="C443" s="35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</row>
    <row r="444">
      <c r="A444" s="35"/>
      <c r="B444" s="35"/>
      <c r="C444" s="35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</row>
    <row r="445">
      <c r="A445" s="35"/>
      <c r="B445" s="35"/>
      <c r="C445" s="35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</row>
    <row r="446">
      <c r="A446" s="35"/>
      <c r="B446" s="35"/>
      <c r="C446" s="35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</row>
    <row r="447">
      <c r="A447" s="35"/>
      <c r="B447" s="35"/>
      <c r="C447" s="35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</row>
    <row r="448">
      <c r="A448" s="35"/>
      <c r="B448" s="35"/>
      <c r="C448" s="35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</row>
    <row r="449">
      <c r="A449" s="35"/>
      <c r="B449" s="35"/>
      <c r="C449" s="35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</row>
    <row r="450">
      <c r="A450" s="35"/>
      <c r="B450" s="35"/>
      <c r="C450" s="35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</row>
    <row r="451">
      <c r="A451" s="35"/>
      <c r="B451" s="35"/>
      <c r="C451" s="35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</row>
    <row r="452">
      <c r="A452" s="35"/>
      <c r="B452" s="35"/>
      <c r="C452" s="35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</row>
    <row r="453">
      <c r="A453" s="35"/>
      <c r="B453" s="35"/>
      <c r="C453" s="35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</row>
    <row r="454">
      <c r="A454" s="35"/>
      <c r="B454" s="35"/>
      <c r="C454" s="35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</row>
    <row r="455">
      <c r="A455" s="35"/>
      <c r="B455" s="35"/>
      <c r="C455" s="35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</row>
    <row r="456">
      <c r="A456" s="35"/>
      <c r="B456" s="35"/>
      <c r="C456" s="35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</row>
    <row r="457">
      <c r="A457" s="35"/>
      <c r="B457" s="35"/>
      <c r="C457" s="35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</row>
    <row r="458">
      <c r="A458" s="35"/>
      <c r="B458" s="35"/>
      <c r="C458" s="35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</row>
    <row r="459">
      <c r="A459" s="35"/>
      <c r="B459" s="35"/>
      <c r="C459" s="35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</row>
    <row r="460">
      <c r="A460" s="35"/>
      <c r="B460" s="35"/>
      <c r="C460" s="35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</row>
    <row r="461">
      <c r="A461" s="35"/>
      <c r="B461" s="35"/>
      <c r="C461" s="35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</row>
    <row r="462">
      <c r="A462" s="35"/>
      <c r="B462" s="35"/>
      <c r="C462" s="35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</row>
    <row r="463">
      <c r="A463" s="35"/>
      <c r="B463" s="35"/>
      <c r="C463" s="35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</row>
    <row r="464">
      <c r="A464" s="35"/>
      <c r="B464" s="35"/>
      <c r="C464" s="35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</row>
    <row r="465">
      <c r="A465" s="35"/>
      <c r="B465" s="35"/>
      <c r="C465" s="35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</row>
    <row r="466">
      <c r="A466" s="35"/>
      <c r="B466" s="35"/>
      <c r="C466" s="35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</row>
    <row r="467">
      <c r="A467" s="35"/>
      <c r="B467" s="35"/>
      <c r="C467" s="35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</row>
    <row r="468">
      <c r="A468" s="35"/>
      <c r="B468" s="35"/>
      <c r="C468" s="35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</row>
    <row r="469">
      <c r="A469" s="35"/>
      <c r="B469" s="35"/>
      <c r="C469" s="35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</row>
    <row r="470">
      <c r="A470" s="35"/>
      <c r="B470" s="35"/>
      <c r="C470" s="35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</row>
    <row r="471">
      <c r="A471" s="35"/>
      <c r="B471" s="35"/>
      <c r="C471" s="35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</row>
    <row r="472">
      <c r="A472" s="35"/>
      <c r="B472" s="35"/>
      <c r="C472" s="35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</row>
    <row r="473">
      <c r="A473" s="35"/>
      <c r="B473" s="35"/>
      <c r="C473" s="35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</row>
    <row r="474">
      <c r="A474" s="35"/>
      <c r="B474" s="35"/>
      <c r="C474" s="35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</row>
    <row r="475">
      <c r="A475" s="35"/>
      <c r="B475" s="35"/>
      <c r="C475" s="35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</row>
    <row r="476">
      <c r="A476" s="35"/>
      <c r="B476" s="35"/>
      <c r="C476" s="35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</row>
    <row r="477">
      <c r="A477" s="35"/>
      <c r="B477" s="35"/>
      <c r="C477" s="35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</row>
    <row r="478">
      <c r="A478" s="35"/>
      <c r="B478" s="35"/>
      <c r="C478" s="35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</row>
    <row r="479">
      <c r="A479" s="35"/>
      <c r="B479" s="35"/>
      <c r="C479" s="35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</row>
    <row r="480">
      <c r="A480" s="35"/>
      <c r="B480" s="35"/>
      <c r="C480" s="35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</row>
    <row r="481">
      <c r="A481" s="35"/>
      <c r="B481" s="35"/>
      <c r="C481" s="35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</row>
    <row r="482">
      <c r="A482" s="35"/>
      <c r="B482" s="35"/>
      <c r="C482" s="35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</row>
    <row r="483">
      <c r="A483" s="35"/>
      <c r="B483" s="35"/>
      <c r="C483" s="35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</row>
    <row r="484">
      <c r="A484" s="35"/>
      <c r="B484" s="35"/>
      <c r="C484" s="35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</row>
    <row r="485">
      <c r="A485" s="35"/>
      <c r="B485" s="35"/>
      <c r="C485" s="35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</row>
    <row r="486">
      <c r="A486" s="35"/>
      <c r="B486" s="35"/>
      <c r="C486" s="35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</row>
    <row r="487">
      <c r="A487" s="35"/>
      <c r="B487" s="35"/>
      <c r="C487" s="35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</row>
    <row r="488">
      <c r="A488" s="35"/>
      <c r="B488" s="35"/>
      <c r="C488" s="35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</row>
    <row r="489">
      <c r="A489" s="35"/>
      <c r="B489" s="35"/>
      <c r="C489" s="35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</row>
    <row r="490">
      <c r="A490" s="35"/>
      <c r="B490" s="35"/>
      <c r="C490" s="35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</row>
    <row r="491">
      <c r="A491" s="35"/>
      <c r="B491" s="35"/>
      <c r="C491" s="35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</row>
    <row r="492">
      <c r="A492" s="35"/>
      <c r="B492" s="35"/>
      <c r="C492" s="35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</row>
    <row r="493">
      <c r="A493" s="35"/>
      <c r="B493" s="35"/>
      <c r="C493" s="35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</row>
    <row r="494">
      <c r="A494" s="35"/>
      <c r="B494" s="35"/>
      <c r="C494" s="35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</row>
    <row r="495">
      <c r="A495" s="35"/>
      <c r="B495" s="35"/>
      <c r="C495" s="35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</row>
    <row r="496">
      <c r="A496" s="35"/>
      <c r="B496" s="35"/>
      <c r="C496" s="35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</row>
    <row r="497">
      <c r="A497" s="35"/>
      <c r="B497" s="35"/>
      <c r="C497" s="35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</row>
    <row r="498">
      <c r="A498" s="35"/>
      <c r="B498" s="35"/>
      <c r="C498" s="35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</row>
    <row r="499">
      <c r="A499" s="35"/>
      <c r="B499" s="35"/>
      <c r="C499" s="35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</row>
    <row r="500">
      <c r="A500" s="35"/>
      <c r="B500" s="35"/>
      <c r="C500" s="35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</row>
    <row r="501">
      <c r="A501" s="35"/>
      <c r="B501" s="35"/>
      <c r="C501" s="35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</row>
    <row r="502">
      <c r="A502" s="35"/>
      <c r="B502" s="35"/>
      <c r="C502" s="35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</row>
    <row r="503">
      <c r="A503" s="35"/>
      <c r="B503" s="35"/>
      <c r="C503" s="35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</row>
    <row r="504">
      <c r="A504" s="35"/>
      <c r="B504" s="35"/>
      <c r="C504" s="35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</row>
    <row r="505">
      <c r="A505" s="35"/>
      <c r="B505" s="35"/>
      <c r="C505" s="35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</row>
    <row r="506">
      <c r="A506" s="35"/>
      <c r="B506" s="35"/>
      <c r="C506" s="35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</row>
    <row r="507">
      <c r="A507" s="35"/>
      <c r="B507" s="35"/>
      <c r="C507" s="35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</row>
    <row r="508">
      <c r="A508" s="35"/>
      <c r="B508" s="35"/>
      <c r="C508" s="35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</row>
    <row r="509">
      <c r="A509" s="35"/>
      <c r="B509" s="35"/>
      <c r="C509" s="35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</row>
    <row r="510">
      <c r="A510" s="35"/>
      <c r="B510" s="35"/>
      <c r="C510" s="35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</row>
    <row r="511">
      <c r="A511" s="35"/>
      <c r="B511" s="35"/>
      <c r="C511" s="35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</row>
    <row r="512">
      <c r="A512" s="35"/>
      <c r="B512" s="35"/>
      <c r="C512" s="35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</row>
    <row r="513">
      <c r="A513" s="35"/>
      <c r="B513" s="35"/>
      <c r="C513" s="35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</row>
    <row r="514">
      <c r="A514" s="35"/>
      <c r="B514" s="35"/>
      <c r="C514" s="35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</row>
    <row r="515">
      <c r="A515" s="35"/>
      <c r="B515" s="35"/>
      <c r="C515" s="35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</row>
    <row r="516">
      <c r="A516" s="35"/>
      <c r="B516" s="35"/>
      <c r="C516" s="35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</row>
    <row r="517">
      <c r="A517" s="35"/>
      <c r="B517" s="35"/>
      <c r="C517" s="35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</row>
    <row r="518">
      <c r="A518" s="35"/>
      <c r="B518" s="35"/>
      <c r="C518" s="35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</row>
    <row r="519">
      <c r="A519" s="35"/>
      <c r="B519" s="35"/>
      <c r="C519" s="35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</row>
    <row r="520">
      <c r="A520" s="35"/>
      <c r="B520" s="35"/>
      <c r="C520" s="35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</row>
    <row r="521">
      <c r="A521" s="35"/>
      <c r="B521" s="35"/>
      <c r="C521" s="35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</row>
    <row r="522">
      <c r="A522" s="35"/>
      <c r="B522" s="35"/>
      <c r="C522" s="35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</row>
    <row r="523">
      <c r="A523" s="35"/>
      <c r="B523" s="35"/>
      <c r="C523" s="35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</row>
    <row r="524">
      <c r="A524" s="35"/>
      <c r="B524" s="35"/>
      <c r="C524" s="35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</row>
    <row r="525">
      <c r="A525" s="35"/>
      <c r="B525" s="35"/>
      <c r="C525" s="35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</row>
    <row r="526">
      <c r="A526" s="35"/>
      <c r="B526" s="35"/>
      <c r="C526" s="35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</row>
    <row r="527">
      <c r="A527" s="35"/>
      <c r="B527" s="35"/>
      <c r="C527" s="35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</row>
    <row r="528">
      <c r="A528" s="35"/>
      <c r="B528" s="35"/>
      <c r="C528" s="35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</row>
    <row r="529">
      <c r="A529" s="35"/>
      <c r="B529" s="35"/>
      <c r="C529" s="35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</row>
    <row r="530">
      <c r="A530" s="35"/>
      <c r="B530" s="35"/>
      <c r="C530" s="35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</row>
    <row r="531">
      <c r="A531" s="35"/>
      <c r="B531" s="35"/>
      <c r="C531" s="35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</row>
    <row r="532">
      <c r="A532" s="35"/>
      <c r="B532" s="35"/>
      <c r="C532" s="35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</row>
    <row r="533">
      <c r="A533" s="35"/>
      <c r="B533" s="35"/>
      <c r="C533" s="35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</row>
    <row r="534">
      <c r="A534" s="35"/>
      <c r="B534" s="35"/>
      <c r="C534" s="35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</row>
    <row r="535">
      <c r="A535" s="35"/>
      <c r="B535" s="35"/>
      <c r="C535" s="35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</row>
    <row r="536">
      <c r="A536" s="35"/>
      <c r="B536" s="35"/>
      <c r="C536" s="35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</row>
    <row r="537">
      <c r="A537" s="35"/>
      <c r="B537" s="35"/>
      <c r="C537" s="35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</row>
    <row r="538">
      <c r="A538" s="35"/>
      <c r="B538" s="35"/>
      <c r="C538" s="35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</row>
    <row r="539">
      <c r="A539" s="35"/>
      <c r="B539" s="35"/>
      <c r="C539" s="35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</row>
    <row r="540">
      <c r="A540" s="35"/>
      <c r="B540" s="35"/>
      <c r="C540" s="35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</row>
    <row r="541">
      <c r="A541" s="35"/>
      <c r="B541" s="35"/>
      <c r="C541" s="35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</row>
    <row r="542">
      <c r="A542" s="35"/>
      <c r="B542" s="35"/>
      <c r="C542" s="35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</row>
    <row r="543">
      <c r="A543" s="35"/>
      <c r="B543" s="35"/>
      <c r="C543" s="35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</row>
    <row r="544">
      <c r="A544" s="35"/>
      <c r="B544" s="35"/>
      <c r="C544" s="35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</row>
    <row r="545">
      <c r="A545" s="35"/>
      <c r="B545" s="35"/>
      <c r="C545" s="35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</row>
    <row r="546">
      <c r="A546" s="35"/>
      <c r="B546" s="35"/>
      <c r="C546" s="35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</row>
    <row r="547">
      <c r="A547" s="35"/>
      <c r="B547" s="35"/>
      <c r="C547" s="35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</row>
    <row r="548">
      <c r="A548" s="35"/>
      <c r="B548" s="35"/>
      <c r="C548" s="35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</row>
    <row r="549">
      <c r="A549" s="35"/>
      <c r="B549" s="35"/>
      <c r="C549" s="35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</row>
    <row r="550">
      <c r="A550" s="35"/>
      <c r="B550" s="35"/>
      <c r="C550" s="35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</row>
    <row r="551">
      <c r="A551" s="35"/>
      <c r="B551" s="35"/>
      <c r="C551" s="35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</row>
    <row r="552">
      <c r="A552" s="35"/>
      <c r="B552" s="35"/>
      <c r="C552" s="35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</row>
    <row r="553">
      <c r="A553" s="35"/>
      <c r="B553" s="35"/>
      <c r="C553" s="35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</row>
    <row r="554">
      <c r="A554" s="35"/>
      <c r="B554" s="35"/>
      <c r="C554" s="35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</row>
    <row r="555">
      <c r="A555" s="35"/>
      <c r="B555" s="35"/>
      <c r="C555" s="35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</row>
    <row r="556">
      <c r="A556" s="35"/>
      <c r="B556" s="35"/>
      <c r="C556" s="35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</row>
    <row r="557">
      <c r="A557" s="35"/>
      <c r="B557" s="35"/>
      <c r="C557" s="35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</row>
    <row r="558">
      <c r="A558" s="35"/>
      <c r="B558" s="35"/>
      <c r="C558" s="35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</row>
    <row r="559">
      <c r="A559" s="35"/>
      <c r="B559" s="35"/>
      <c r="C559" s="35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</row>
    <row r="560">
      <c r="A560" s="35"/>
      <c r="B560" s="35"/>
      <c r="C560" s="35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</row>
    <row r="561">
      <c r="A561" s="35"/>
      <c r="B561" s="35"/>
      <c r="C561" s="35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</row>
    <row r="562">
      <c r="A562" s="35"/>
      <c r="B562" s="35"/>
      <c r="C562" s="35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</row>
    <row r="563">
      <c r="A563" s="35"/>
      <c r="B563" s="35"/>
      <c r="C563" s="35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</row>
    <row r="564">
      <c r="A564" s="35"/>
      <c r="B564" s="35"/>
      <c r="C564" s="35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</row>
    <row r="565">
      <c r="A565" s="35"/>
      <c r="B565" s="35"/>
      <c r="C565" s="35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</row>
    <row r="566">
      <c r="A566" s="35"/>
      <c r="B566" s="35"/>
      <c r="C566" s="35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</row>
    <row r="567">
      <c r="A567" s="35"/>
      <c r="B567" s="35"/>
      <c r="C567" s="35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</row>
    <row r="568">
      <c r="A568" s="35"/>
      <c r="B568" s="35"/>
      <c r="C568" s="35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</row>
    <row r="569">
      <c r="A569" s="35"/>
      <c r="B569" s="35"/>
      <c r="C569" s="35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</row>
    <row r="570">
      <c r="A570" s="35"/>
      <c r="B570" s="35"/>
      <c r="C570" s="35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</row>
    <row r="571">
      <c r="A571" s="35"/>
      <c r="B571" s="35"/>
      <c r="C571" s="35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</row>
    <row r="572">
      <c r="A572" s="35"/>
      <c r="B572" s="35"/>
      <c r="C572" s="35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</row>
    <row r="573">
      <c r="A573" s="35"/>
      <c r="B573" s="35"/>
      <c r="C573" s="35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</row>
    <row r="574">
      <c r="A574" s="35"/>
      <c r="B574" s="35"/>
      <c r="C574" s="35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</row>
    <row r="575">
      <c r="A575" s="35"/>
      <c r="B575" s="35"/>
      <c r="C575" s="35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</row>
    <row r="576">
      <c r="A576" s="35"/>
      <c r="B576" s="35"/>
      <c r="C576" s="35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</row>
    <row r="577">
      <c r="A577" s="35"/>
      <c r="B577" s="35"/>
      <c r="C577" s="35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</row>
    <row r="578">
      <c r="A578" s="35"/>
      <c r="B578" s="35"/>
      <c r="C578" s="35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</row>
    <row r="579">
      <c r="A579" s="35"/>
      <c r="B579" s="35"/>
      <c r="C579" s="35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</row>
    <row r="580">
      <c r="A580" s="35"/>
      <c r="B580" s="35"/>
      <c r="C580" s="35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</row>
    <row r="581">
      <c r="A581" s="35"/>
      <c r="B581" s="35"/>
      <c r="C581" s="35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</row>
    <row r="582">
      <c r="A582" s="35"/>
      <c r="B582" s="35"/>
      <c r="C582" s="35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</row>
    <row r="583">
      <c r="A583" s="35"/>
      <c r="B583" s="35"/>
      <c r="C583" s="35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</row>
    <row r="584">
      <c r="A584" s="35"/>
      <c r="B584" s="35"/>
      <c r="C584" s="35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</row>
    <row r="585">
      <c r="A585" s="35"/>
      <c r="B585" s="35"/>
      <c r="C585" s="35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</row>
    <row r="586">
      <c r="A586" s="35"/>
      <c r="B586" s="35"/>
      <c r="C586" s="35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</row>
    <row r="587">
      <c r="A587" s="35"/>
      <c r="B587" s="35"/>
      <c r="C587" s="35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</row>
    <row r="588">
      <c r="A588" s="35"/>
      <c r="B588" s="35"/>
      <c r="C588" s="35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</row>
    <row r="589">
      <c r="A589" s="35"/>
      <c r="B589" s="35"/>
      <c r="C589" s="35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</row>
    <row r="590">
      <c r="A590" s="35"/>
      <c r="B590" s="35"/>
      <c r="C590" s="35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</row>
    <row r="591">
      <c r="A591" s="35"/>
      <c r="B591" s="35"/>
      <c r="C591" s="35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</row>
    <row r="592">
      <c r="A592" s="35"/>
      <c r="B592" s="35"/>
      <c r="C592" s="35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</row>
    <row r="593">
      <c r="A593" s="35"/>
      <c r="B593" s="35"/>
      <c r="C593" s="35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</row>
    <row r="594">
      <c r="A594" s="35"/>
      <c r="B594" s="35"/>
      <c r="C594" s="35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</row>
    <row r="595">
      <c r="A595" s="35"/>
      <c r="B595" s="35"/>
      <c r="C595" s="35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</row>
    <row r="596">
      <c r="A596" s="35"/>
      <c r="B596" s="35"/>
      <c r="C596" s="35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</row>
    <row r="597">
      <c r="A597" s="35"/>
      <c r="B597" s="35"/>
      <c r="C597" s="35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</row>
    <row r="598">
      <c r="A598" s="35"/>
      <c r="B598" s="35"/>
      <c r="C598" s="35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</row>
    <row r="599">
      <c r="A599" s="35"/>
      <c r="B599" s="35"/>
      <c r="C599" s="35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</row>
    <row r="600">
      <c r="A600" s="35"/>
      <c r="B600" s="35"/>
      <c r="C600" s="35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</row>
    <row r="601">
      <c r="A601" s="35"/>
      <c r="B601" s="35"/>
      <c r="C601" s="35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</row>
    <row r="602">
      <c r="A602" s="35"/>
      <c r="B602" s="35"/>
      <c r="C602" s="35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</row>
    <row r="603">
      <c r="A603" s="35"/>
      <c r="B603" s="35"/>
      <c r="C603" s="35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</row>
    <row r="604">
      <c r="A604" s="35"/>
      <c r="B604" s="35"/>
      <c r="C604" s="35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</row>
    <row r="605">
      <c r="A605" s="35"/>
      <c r="B605" s="35"/>
      <c r="C605" s="35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</row>
    <row r="606">
      <c r="A606" s="35"/>
      <c r="B606" s="35"/>
      <c r="C606" s="35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</row>
    <row r="607">
      <c r="A607" s="35"/>
      <c r="B607" s="35"/>
      <c r="C607" s="35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</row>
    <row r="608">
      <c r="A608" s="35"/>
      <c r="B608" s="35"/>
      <c r="C608" s="35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</row>
    <row r="609">
      <c r="A609" s="35"/>
      <c r="B609" s="35"/>
      <c r="C609" s="35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</row>
    <row r="610">
      <c r="A610" s="35"/>
      <c r="B610" s="35"/>
      <c r="C610" s="35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</row>
    <row r="611">
      <c r="A611" s="35"/>
      <c r="B611" s="35"/>
      <c r="C611" s="35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</row>
    <row r="612">
      <c r="A612" s="35"/>
      <c r="B612" s="35"/>
      <c r="C612" s="35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</row>
    <row r="613">
      <c r="A613" s="35"/>
      <c r="B613" s="35"/>
      <c r="C613" s="35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</row>
    <row r="614">
      <c r="A614" s="35"/>
      <c r="B614" s="35"/>
      <c r="C614" s="35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</row>
    <row r="615">
      <c r="A615" s="35"/>
      <c r="B615" s="35"/>
      <c r="C615" s="35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</row>
    <row r="616">
      <c r="A616" s="35"/>
      <c r="B616" s="35"/>
      <c r="C616" s="35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</row>
    <row r="617">
      <c r="A617" s="35"/>
      <c r="B617" s="35"/>
      <c r="C617" s="35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</row>
    <row r="618">
      <c r="A618" s="35"/>
      <c r="B618" s="35"/>
      <c r="C618" s="35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</row>
    <row r="619">
      <c r="A619" s="35"/>
      <c r="B619" s="35"/>
      <c r="C619" s="35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</row>
    <row r="620">
      <c r="A620" s="35"/>
      <c r="B620" s="35"/>
      <c r="C620" s="35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</row>
    <row r="621">
      <c r="A621" s="35"/>
      <c r="B621" s="35"/>
      <c r="C621" s="35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</row>
    <row r="622">
      <c r="A622" s="35"/>
      <c r="B622" s="35"/>
      <c r="C622" s="35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</row>
    <row r="623">
      <c r="A623" s="35"/>
      <c r="B623" s="35"/>
      <c r="C623" s="35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</row>
    <row r="624">
      <c r="A624" s="35"/>
      <c r="B624" s="35"/>
      <c r="C624" s="35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</row>
    <row r="625">
      <c r="A625" s="35"/>
      <c r="B625" s="35"/>
      <c r="C625" s="35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</row>
    <row r="626">
      <c r="A626" s="35"/>
      <c r="B626" s="35"/>
      <c r="C626" s="35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</row>
    <row r="627">
      <c r="A627" s="35"/>
      <c r="B627" s="35"/>
      <c r="C627" s="35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</row>
    <row r="628">
      <c r="A628" s="35"/>
      <c r="B628" s="35"/>
      <c r="C628" s="35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</row>
    <row r="629">
      <c r="A629" s="35"/>
      <c r="B629" s="35"/>
      <c r="C629" s="35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</row>
    <row r="630">
      <c r="A630" s="35"/>
      <c r="B630" s="35"/>
      <c r="C630" s="35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</row>
    <row r="631">
      <c r="A631" s="35"/>
      <c r="B631" s="35"/>
      <c r="C631" s="35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</row>
    <row r="632">
      <c r="A632" s="35"/>
      <c r="B632" s="35"/>
      <c r="C632" s="35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</row>
    <row r="633">
      <c r="A633" s="35"/>
      <c r="B633" s="35"/>
      <c r="C633" s="35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</row>
    <row r="634">
      <c r="A634" s="35"/>
      <c r="B634" s="35"/>
      <c r="C634" s="35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</row>
    <row r="635">
      <c r="A635" s="35"/>
      <c r="B635" s="35"/>
      <c r="C635" s="35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</row>
    <row r="636">
      <c r="A636" s="35"/>
      <c r="B636" s="35"/>
      <c r="C636" s="35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</row>
    <row r="637">
      <c r="A637" s="35"/>
      <c r="B637" s="35"/>
      <c r="C637" s="35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</row>
    <row r="638">
      <c r="A638" s="35"/>
      <c r="B638" s="35"/>
      <c r="C638" s="35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</row>
    <row r="639">
      <c r="A639" s="35"/>
      <c r="B639" s="35"/>
      <c r="C639" s="35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</row>
    <row r="640">
      <c r="A640" s="35"/>
      <c r="B640" s="35"/>
      <c r="C640" s="35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</row>
    <row r="641">
      <c r="A641" s="35"/>
      <c r="B641" s="35"/>
      <c r="C641" s="35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</row>
    <row r="642">
      <c r="A642" s="35"/>
      <c r="B642" s="35"/>
      <c r="C642" s="35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</row>
    <row r="643">
      <c r="A643" s="35"/>
      <c r="B643" s="35"/>
      <c r="C643" s="35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</row>
    <row r="644">
      <c r="A644" s="35"/>
      <c r="B644" s="35"/>
      <c r="C644" s="35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</row>
    <row r="645">
      <c r="A645" s="35"/>
      <c r="B645" s="35"/>
      <c r="C645" s="35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</row>
    <row r="646">
      <c r="A646" s="35"/>
      <c r="B646" s="35"/>
      <c r="C646" s="35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</row>
    <row r="647">
      <c r="A647" s="35"/>
      <c r="B647" s="35"/>
      <c r="C647" s="35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</row>
    <row r="648">
      <c r="A648" s="35"/>
      <c r="B648" s="35"/>
      <c r="C648" s="35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</row>
    <row r="649">
      <c r="A649" s="35"/>
      <c r="B649" s="35"/>
      <c r="C649" s="35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</row>
    <row r="650">
      <c r="A650" s="35"/>
      <c r="B650" s="35"/>
      <c r="C650" s="35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</row>
    <row r="651">
      <c r="A651" s="35"/>
      <c r="B651" s="35"/>
      <c r="C651" s="35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</row>
    <row r="652">
      <c r="A652" s="35"/>
      <c r="B652" s="35"/>
      <c r="C652" s="35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</row>
    <row r="653">
      <c r="A653" s="35"/>
      <c r="B653" s="35"/>
      <c r="C653" s="35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</row>
    <row r="654">
      <c r="A654" s="35"/>
      <c r="B654" s="35"/>
      <c r="C654" s="35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</row>
    <row r="655">
      <c r="A655" s="35"/>
      <c r="B655" s="35"/>
      <c r="C655" s="35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</row>
    <row r="656">
      <c r="A656" s="35"/>
      <c r="B656" s="35"/>
      <c r="C656" s="35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</row>
    <row r="657">
      <c r="A657" s="35"/>
      <c r="B657" s="35"/>
      <c r="C657" s="35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</row>
    <row r="658">
      <c r="A658" s="35"/>
      <c r="B658" s="35"/>
      <c r="C658" s="35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</row>
    <row r="659">
      <c r="A659" s="35"/>
      <c r="B659" s="35"/>
      <c r="C659" s="35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</row>
    <row r="660">
      <c r="A660" s="35"/>
      <c r="B660" s="35"/>
      <c r="C660" s="35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</row>
    <row r="661">
      <c r="A661" s="35"/>
      <c r="B661" s="35"/>
      <c r="C661" s="35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</row>
    <row r="662">
      <c r="A662" s="35"/>
      <c r="B662" s="35"/>
      <c r="C662" s="35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</row>
    <row r="663">
      <c r="A663" s="35"/>
      <c r="B663" s="35"/>
      <c r="C663" s="35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</row>
    <row r="664">
      <c r="A664" s="35"/>
      <c r="B664" s="35"/>
      <c r="C664" s="35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</row>
    <row r="665">
      <c r="A665" s="35"/>
      <c r="B665" s="35"/>
      <c r="C665" s="35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</row>
    <row r="666">
      <c r="A666" s="35"/>
      <c r="B666" s="35"/>
      <c r="C666" s="35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</row>
    <row r="667">
      <c r="A667" s="35"/>
      <c r="B667" s="35"/>
      <c r="C667" s="35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</row>
    <row r="668">
      <c r="A668" s="35"/>
      <c r="B668" s="35"/>
      <c r="C668" s="35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</row>
    <row r="669">
      <c r="A669" s="35"/>
      <c r="B669" s="35"/>
      <c r="C669" s="35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</row>
    <row r="670">
      <c r="A670" s="35"/>
      <c r="B670" s="35"/>
      <c r="C670" s="35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</row>
    <row r="671">
      <c r="A671" s="35"/>
      <c r="B671" s="35"/>
      <c r="C671" s="35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</row>
    <row r="672">
      <c r="A672" s="35"/>
      <c r="B672" s="35"/>
      <c r="C672" s="35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</row>
    <row r="673">
      <c r="A673" s="35"/>
      <c r="B673" s="35"/>
      <c r="C673" s="35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</row>
    <row r="674">
      <c r="A674" s="35"/>
      <c r="B674" s="35"/>
      <c r="C674" s="35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</row>
    <row r="675">
      <c r="A675" s="35"/>
      <c r="B675" s="35"/>
      <c r="C675" s="35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</row>
    <row r="676">
      <c r="A676" s="35"/>
      <c r="B676" s="35"/>
      <c r="C676" s="35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</row>
    <row r="677">
      <c r="A677" s="35"/>
      <c r="B677" s="35"/>
      <c r="C677" s="35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</row>
    <row r="678">
      <c r="A678" s="35"/>
      <c r="B678" s="35"/>
      <c r="C678" s="35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</row>
    <row r="679">
      <c r="A679" s="35"/>
      <c r="B679" s="35"/>
      <c r="C679" s="35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</row>
    <row r="680">
      <c r="A680" s="35"/>
      <c r="B680" s="35"/>
      <c r="C680" s="35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</row>
    <row r="681">
      <c r="A681" s="35"/>
      <c r="B681" s="35"/>
      <c r="C681" s="35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</row>
    <row r="682">
      <c r="A682" s="35"/>
      <c r="B682" s="35"/>
      <c r="C682" s="35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</row>
    <row r="683">
      <c r="A683" s="35"/>
      <c r="B683" s="35"/>
      <c r="C683" s="35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</row>
    <row r="684">
      <c r="A684" s="35"/>
      <c r="B684" s="35"/>
      <c r="C684" s="35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</row>
    <row r="685">
      <c r="A685" s="35"/>
      <c r="B685" s="35"/>
      <c r="C685" s="35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</row>
    <row r="686">
      <c r="A686" s="35"/>
      <c r="B686" s="35"/>
      <c r="C686" s="35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</row>
    <row r="687">
      <c r="A687" s="35"/>
      <c r="B687" s="35"/>
      <c r="C687" s="35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</row>
    <row r="688">
      <c r="A688" s="35"/>
      <c r="B688" s="35"/>
      <c r="C688" s="35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</row>
    <row r="689">
      <c r="A689" s="35"/>
      <c r="B689" s="35"/>
      <c r="C689" s="35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</row>
    <row r="690">
      <c r="A690" s="35"/>
      <c r="B690" s="35"/>
      <c r="C690" s="35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</row>
    <row r="691">
      <c r="A691" s="35"/>
      <c r="B691" s="35"/>
      <c r="C691" s="35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</row>
    <row r="692">
      <c r="A692" s="35"/>
      <c r="B692" s="35"/>
      <c r="C692" s="35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</row>
    <row r="693">
      <c r="A693" s="35"/>
      <c r="B693" s="35"/>
      <c r="C693" s="35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</row>
    <row r="694">
      <c r="A694" s="35"/>
      <c r="B694" s="35"/>
      <c r="C694" s="35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</row>
    <row r="695">
      <c r="A695" s="35"/>
      <c r="B695" s="35"/>
      <c r="C695" s="35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</row>
    <row r="696">
      <c r="A696" s="35"/>
      <c r="B696" s="35"/>
      <c r="C696" s="35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</row>
    <row r="697">
      <c r="A697" s="35"/>
      <c r="B697" s="35"/>
      <c r="C697" s="35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</row>
    <row r="698">
      <c r="A698" s="35"/>
      <c r="B698" s="35"/>
      <c r="C698" s="35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</row>
    <row r="699">
      <c r="A699" s="35"/>
      <c r="B699" s="35"/>
      <c r="C699" s="35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</row>
    <row r="700">
      <c r="A700" s="35"/>
      <c r="B700" s="35"/>
      <c r="C700" s="35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</row>
    <row r="701">
      <c r="A701" s="35"/>
      <c r="B701" s="35"/>
      <c r="C701" s="35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</row>
    <row r="702">
      <c r="A702" s="35"/>
      <c r="B702" s="35"/>
      <c r="C702" s="35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</row>
    <row r="703">
      <c r="A703" s="35"/>
      <c r="B703" s="35"/>
      <c r="C703" s="35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</row>
    <row r="704">
      <c r="A704" s="35"/>
      <c r="B704" s="35"/>
      <c r="C704" s="35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</row>
    <row r="705">
      <c r="A705" s="35"/>
      <c r="B705" s="35"/>
      <c r="C705" s="35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</row>
    <row r="706">
      <c r="A706" s="35"/>
      <c r="B706" s="35"/>
      <c r="C706" s="35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</row>
    <row r="707">
      <c r="A707" s="35"/>
      <c r="B707" s="35"/>
      <c r="C707" s="35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</row>
    <row r="708">
      <c r="A708" s="35"/>
      <c r="B708" s="35"/>
      <c r="C708" s="35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</row>
    <row r="709">
      <c r="A709" s="35"/>
      <c r="B709" s="35"/>
      <c r="C709" s="35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</row>
    <row r="710">
      <c r="A710" s="35"/>
      <c r="B710" s="35"/>
      <c r="C710" s="35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</row>
    <row r="711">
      <c r="A711" s="35"/>
      <c r="B711" s="35"/>
      <c r="C711" s="35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</row>
    <row r="712">
      <c r="A712" s="35"/>
      <c r="B712" s="35"/>
      <c r="C712" s="35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</row>
    <row r="713">
      <c r="A713" s="35"/>
      <c r="B713" s="35"/>
      <c r="C713" s="35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</row>
    <row r="714">
      <c r="A714" s="35"/>
      <c r="B714" s="35"/>
      <c r="C714" s="35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</row>
    <row r="715">
      <c r="A715" s="35"/>
      <c r="B715" s="35"/>
      <c r="C715" s="35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</row>
    <row r="716">
      <c r="A716" s="35"/>
      <c r="B716" s="35"/>
      <c r="C716" s="35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</row>
    <row r="717">
      <c r="A717" s="35"/>
      <c r="B717" s="35"/>
      <c r="C717" s="35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</row>
    <row r="718">
      <c r="A718" s="35"/>
      <c r="B718" s="35"/>
      <c r="C718" s="35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</row>
    <row r="719">
      <c r="A719" s="35"/>
      <c r="B719" s="35"/>
      <c r="C719" s="35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</row>
    <row r="720">
      <c r="A720" s="35"/>
      <c r="B720" s="35"/>
      <c r="C720" s="35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</row>
    <row r="721">
      <c r="A721" s="35"/>
      <c r="B721" s="35"/>
      <c r="C721" s="35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</row>
    <row r="722">
      <c r="A722" s="35"/>
      <c r="B722" s="35"/>
      <c r="C722" s="35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</row>
    <row r="723">
      <c r="A723" s="35"/>
      <c r="B723" s="35"/>
      <c r="C723" s="35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</row>
    <row r="724">
      <c r="A724" s="35"/>
      <c r="B724" s="35"/>
      <c r="C724" s="35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</row>
    <row r="725">
      <c r="A725" s="35"/>
      <c r="B725" s="35"/>
      <c r="C725" s="35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</row>
    <row r="726">
      <c r="A726" s="35"/>
      <c r="B726" s="35"/>
      <c r="C726" s="35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</row>
    <row r="727">
      <c r="A727" s="35"/>
      <c r="B727" s="35"/>
      <c r="C727" s="35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</row>
    <row r="728">
      <c r="A728" s="35"/>
      <c r="B728" s="35"/>
      <c r="C728" s="35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</row>
    <row r="729">
      <c r="A729" s="35"/>
      <c r="B729" s="35"/>
      <c r="C729" s="35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</row>
    <row r="730">
      <c r="A730" s="35"/>
      <c r="B730" s="35"/>
      <c r="C730" s="35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</row>
    <row r="731">
      <c r="A731" s="35"/>
      <c r="B731" s="35"/>
      <c r="C731" s="35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</row>
    <row r="732">
      <c r="A732" s="35"/>
      <c r="B732" s="35"/>
      <c r="C732" s="35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</row>
    <row r="733">
      <c r="A733" s="35"/>
      <c r="B733" s="35"/>
      <c r="C733" s="35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</row>
    <row r="734">
      <c r="A734" s="35"/>
      <c r="B734" s="35"/>
      <c r="C734" s="35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</row>
    <row r="735">
      <c r="A735" s="35"/>
      <c r="B735" s="35"/>
      <c r="C735" s="35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</row>
    <row r="736">
      <c r="A736" s="35"/>
      <c r="B736" s="35"/>
      <c r="C736" s="35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</row>
    <row r="737">
      <c r="A737" s="35"/>
      <c r="B737" s="35"/>
      <c r="C737" s="35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</row>
    <row r="738">
      <c r="A738" s="35"/>
      <c r="B738" s="35"/>
      <c r="C738" s="35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</row>
    <row r="739">
      <c r="A739" s="35"/>
      <c r="B739" s="35"/>
      <c r="C739" s="35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</row>
    <row r="740">
      <c r="A740" s="35"/>
      <c r="B740" s="35"/>
      <c r="C740" s="35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</row>
    <row r="741">
      <c r="A741" s="35"/>
      <c r="B741" s="35"/>
      <c r="C741" s="35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</row>
    <row r="742">
      <c r="A742" s="35"/>
      <c r="B742" s="35"/>
      <c r="C742" s="35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</row>
    <row r="743">
      <c r="A743" s="35"/>
      <c r="B743" s="35"/>
      <c r="C743" s="35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</row>
    <row r="744">
      <c r="A744" s="35"/>
      <c r="B744" s="35"/>
      <c r="C744" s="35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</row>
    <row r="745">
      <c r="A745" s="35"/>
      <c r="B745" s="35"/>
      <c r="C745" s="35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</row>
    <row r="746">
      <c r="A746" s="35"/>
      <c r="B746" s="35"/>
      <c r="C746" s="35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</row>
    <row r="747">
      <c r="A747" s="35"/>
      <c r="B747" s="35"/>
      <c r="C747" s="35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</row>
    <row r="748">
      <c r="A748" s="35"/>
      <c r="B748" s="35"/>
      <c r="C748" s="35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</row>
    <row r="749">
      <c r="A749" s="35"/>
      <c r="B749" s="35"/>
      <c r="C749" s="35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</row>
    <row r="750">
      <c r="A750" s="35"/>
      <c r="B750" s="35"/>
      <c r="C750" s="35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</row>
    <row r="751">
      <c r="A751" s="35"/>
      <c r="B751" s="35"/>
      <c r="C751" s="35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</row>
    <row r="752">
      <c r="A752" s="35"/>
      <c r="B752" s="35"/>
      <c r="C752" s="35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</row>
    <row r="753">
      <c r="A753" s="35"/>
      <c r="B753" s="35"/>
      <c r="C753" s="35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</row>
    <row r="754">
      <c r="A754" s="35"/>
      <c r="B754" s="35"/>
      <c r="C754" s="35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</row>
    <row r="755">
      <c r="A755" s="35"/>
      <c r="B755" s="35"/>
      <c r="C755" s="35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</row>
    <row r="756">
      <c r="A756" s="35"/>
      <c r="B756" s="35"/>
      <c r="C756" s="35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</row>
    <row r="757">
      <c r="A757" s="35"/>
      <c r="B757" s="35"/>
      <c r="C757" s="35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</row>
    <row r="758">
      <c r="A758" s="35"/>
      <c r="B758" s="35"/>
      <c r="C758" s="35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</row>
    <row r="759">
      <c r="A759" s="35"/>
      <c r="B759" s="35"/>
      <c r="C759" s="35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</row>
    <row r="760">
      <c r="A760" s="35"/>
      <c r="B760" s="35"/>
      <c r="C760" s="35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</row>
    <row r="761">
      <c r="A761" s="35"/>
      <c r="B761" s="35"/>
      <c r="C761" s="35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</row>
    <row r="762">
      <c r="A762" s="35"/>
      <c r="B762" s="35"/>
      <c r="C762" s="35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</row>
    <row r="763">
      <c r="A763" s="35"/>
      <c r="B763" s="35"/>
      <c r="C763" s="35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</row>
    <row r="764">
      <c r="A764" s="35"/>
      <c r="B764" s="35"/>
      <c r="C764" s="35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</row>
    <row r="765">
      <c r="A765" s="35"/>
      <c r="B765" s="35"/>
      <c r="C765" s="35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</row>
    <row r="766">
      <c r="A766" s="35"/>
      <c r="B766" s="35"/>
      <c r="C766" s="35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</row>
    <row r="767">
      <c r="A767" s="35"/>
      <c r="B767" s="35"/>
      <c r="C767" s="35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</row>
    <row r="768">
      <c r="A768" s="35"/>
      <c r="B768" s="35"/>
      <c r="C768" s="35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</row>
    <row r="769">
      <c r="A769" s="35"/>
      <c r="B769" s="35"/>
      <c r="C769" s="35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</row>
    <row r="770">
      <c r="A770" s="35"/>
      <c r="B770" s="35"/>
      <c r="C770" s="35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</row>
    <row r="771">
      <c r="A771" s="35"/>
      <c r="B771" s="35"/>
      <c r="C771" s="35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</row>
    <row r="772">
      <c r="A772" s="35"/>
      <c r="B772" s="35"/>
      <c r="C772" s="35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</row>
    <row r="773">
      <c r="A773" s="35"/>
      <c r="B773" s="35"/>
      <c r="C773" s="35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</row>
    <row r="774">
      <c r="A774" s="35"/>
      <c r="B774" s="35"/>
      <c r="C774" s="35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</row>
    <row r="775">
      <c r="A775" s="35"/>
      <c r="B775" s="35"/>
      <c r="C775" s="35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</row>
    <row r="776">
      <c r="A776" s="35"/>
      <c r="B776" s="35"/>
      <c r="C776" s="35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</row>
    <row r="777">
      <c r="A777" s="35"/>
      <c r="B777" s="35"/>
      <c r="C777" s="35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</row>
    <row r="778">
      <c r="A778" s="35"/>
      <c r="B778" s="35"/>
      <c r="C778" s="35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</row>
    <row r="779">
      <c r="A779" s="35"/>
      <c r="B779" s="35"/>
      <c r="C779" s="35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</row>
    <row r="780">
      <c r="A780" s="35"/>
      <c r="B780" s="35"/>
      <c r="C780" s="35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</row>
    <row r="781">
      <c r="A781" s="35"/>
      <c r="B781" s="35"/>
      <c r="C781" s="35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</row>
    <row r="782">
      <c r="A782" s="35"/>
      <c r="B782" s="35"/>
      <c r="C782" s="35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</row>
    <row r="783">
      <c r="A783" s="35"/>
      <c r="B783" s="35"/>
      <c r="C783" s="35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</row>
    <row r="784">
      <c r="A784" s="35"/>
      <c r="B784" s="35"/>
      <c r="C784" s="35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</row>
    <row r="785">
      <c r="A785" s="35"/>
      <c r="B785" s="35"/>
      <c r="C785" s="35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</row>
    <row r="786">
      <c r="A786" s="35"/>
      <c r="B786" s="35"/>
      <c r="C786" s="35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</row>
    <row r="787">
      <c r="A787" s="35"/>
      <c r="B787" s="35"/>
      <c r="C787" s="35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</row>
    <row r="788">
      <c r="A788" s="35"/>
      <c r="B788" s="35"/>
      <c r="C788" s="35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</row>
    <row r="789">
      <c r="A789" s="35"/>
      <c r="B789" s="35"/>
      <c r="C789" s="35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</row>
    <row r="790">
      <c r="A790" s="35"/>
      <c r="B790" s="35"/>
      <c r="C790" s="35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</row>
    <row r="791">
      <c r="A791" s="35"/>
      <c r="B791" s="35"/>
      <c r="C791" s="35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</row>
    <row r="792">
      <c r="A792" s="35"/>
      <c r="B792" s="35"/>
      <c r="C792" s="35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</row>
    <row r="793">
      <c r="A793" s="35"/>
      <c r="B793" s="35"/>
      <c r="C793" s="35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</row>
    <row r="794">
      <c r="A794" s="35"/>
      <c r="B794" s="35"/>
      <c r="C794" s="35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</row>
    <row r="795">
      <c r="A795" s="35"/>
      <c r="B795" s="35"/>
      <c r="C795" s="35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</row>
    <row r="796">
      <c r="A796" s="35"/>
      <c r="B796" s="35"/>
      <c r="C796" s="35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</row>
    <row r="797">
      <c r="A797" s="35"/>
      <c r="B797" s="35"/>
      <c r="C797" s="35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</row>
    <row r="798">
      <c r="A798" s="35"/>
      <c r="B798" s="35"/>
      <c r="C798" s="35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</row>
    <row r="799">
      <c r="A799" s="35"/>
      <c r="B799" s="35"/>
      <c r="C799" s="35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</row>
    <row r="800">
      <c r="A800" s="35"/>
      <c r="B800" s="35"/>
      <c r="C800" s="35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</row>
    <row r="801">
      <c r="A801" s="35"/>
      <c r="B801" s="35"/>
      <c r="C801" s="35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</row>
    <row r="802">
      <c r="A802" s="35"/>
      <c r="B802" s="35"/>
      <c r="C802" s="35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</row>
    <row r="803">
      <c r="A803" s="35"/>
      <c r="B803" s="35"/>
      <c r="C803" s="35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</row>
    <row r="804">
      <c r="A804" s="35"/>
      <c r="B804" s="35"/>
      <c r="C804" s="35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</row>
    <row r="805">
      <c r="A805" s="35"/>
      <c r="B805" s="35"/>
      <c r="C805" s="35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</row>
    <row r="806">
      <c r="A806" s="35"/>
      <c r="B806" s="35"/>
      <c r="C806" s="35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</row>
    <row r="807">
      <c r="A807" s="35"/>
      <c r="B807" s="35"/>
      <c r="C807" s="35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</row>
    <row r="808">
      <c r="A808" s="35"/>
      <c r="B808" s="35"/>
      <c r="C808" s="35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</row>
    <row r="809">
      <c r="A809" s="35"/>
      <c r="B809" s="35"/>
      <c r="C809" s="35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</row>
    <row r="810">
      <c r="A810" s="35"/>
      <c r="B810" s="35"/>
      <c r="C810" s="35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</row>
    <row r="811">
      <c r="A811" s="35"/>
      <c r="B811" s="35"/>
      <c r="C811" s="35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</row>
    <row r="812">
      <c r="A812" s="35"/>
      <c r="B812" s="35"/>
      <c r="C812" s="35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</row>
    <row r="813">
      <c r="A813" s="35"/>
      <c r="B813" s="35"/>
      <c r="C813" s="35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</row>
    <row r="814">
      <c r="A814" s="35"/>
      <c r="B814" s="35"/>
      <c r="C814" s="35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</row>
    <row r="815">
      <c r="A815" s="35"/>
      <c r="B815" s="35"/>
      <c r="C815" s="35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</row>
    <row r="816">
      <c r="A816" s="35"/>
      <c r="B816" s="35"/>
      <c r="C816" s="35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</row>
    <row r="817">
      <c r="A817" s="35"/>
      <c r="B817" s="35"/>
      <c r="C817" s="35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</row>
    <row r="818">
      <c r="A818" s="35"/>
      <c r="B818" s="35"/>
      <c r="C818" s="35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</row>
    <row r="819">
      <c r="A819" s="35"/>
      <c r="B819" s="35"/>
      <c r="C819" s="35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</row>
    <row r="820">
      <c r="A820" s="35"/>
      <c r="B820" s="35"/>
      <c r="C820" s="35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</row>
    <row r="821">
      <c r="A821" s="35"/>
      <c r="B821" s="35"/>
      <c r="C821" s="35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</row>
    <row r="822">
      <c r="A822" s="35"/>
      <c r="B822" s="35"/>
      <c r="C822" s="35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</row>
    <row r="823">
      <c r="A823" s="35"/>
      <c r="B823" s="35"/>
      <c r="C823" s="35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</row>
    <row r="824">
      <c r="A824" s="35"/>
      <c r="B824" s="35"/>
      <c r="C824" s="35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</row>
    <row r="825">
      <c r="A825" s="35"/>
      <c r="B825" s="35"/>
      <c r="C825" s="35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</row>
    <row r="826">
      <c r="A826" s="35"/>
      <c r="B826" s="35"/>
      <c r="C826" s="35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</row>
    <row r="827">
      <c r="A827" s="35"/>
      <c r="B827" s="35"/>
      <c r="C827" s="35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</row>
    <row r="828">
      <c r="A828" s="35"/>
      <c r="B828" s="35"/>
      <c r="C828" s="35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</row>
    <row r="829">
      <c r="A829" s="35"/>
      <c r="B829" s="35"/>
      <c r="C829" s="35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</row>
    <row r="830">
      <c r="A830" s="35"/>
      <c r="B830" s="35"/>
      <c r="C830" s="35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</row>
    <row r="831">
      <c r="A831" s="35"/>
      <c r="B831" s="35"/>
      <c r="C831" s="35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</row>
    <row r="832">
      <c r="A832" s="35"/>
      <c r="B832" s="35"/>
      <c r="C832" s="35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</row>
    <row r="833">
      <c r="A833" s="35"/>
      <c r="B833" s="35"/>
      <c r="C833" s="35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</row>
    <row r="834">
      <c r="A834" s="35"/>
      <c r="B834" s="35"/>
      <c r="C834" s="35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</row>
    <row r="835">
      <c r="A835" s="35"/>
      <c r="B835" s="35"/>
      <c r="C835" s="35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</row>
    <row r="836">
      <c r="A836" s="35"/>
      <c r="B836" s="35"/>
      <c r="C836" s="35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</row>
    <row r="837">
      <c r="A837" s="35"/>
      <c r="B837" s="35"/>
      <c r="C837" s="35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</row>
    <row r="838">
      <c r="A838" s="35"/>
      <c r="B838" s="35"/>
      <c r="C838" s="35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</row>
    <row r="839">
      <c r="A839" s="35"/>
      <c r="B839" s="35"/>
      <c r="C839" s="35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</row>
    <row r="840">
      <c r="A840" s="35"/>
      <c r="B840" s="35"/>
      <c r="C840" s="35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</row>
    <row r="841">
      <c r="A841" s="35"/>
      <c r="B841" s="35"/>
      <c r="C841" s="35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</row>
    <row r="842">
      <c r="A842" s="35"/>
      <c r="B842" s="35"/>
      <c r="C842" s="35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</row>
    <row r="843">
      <c r="A843" s="35"/>
      <c r="B843" s="35"/>
      <c r="C843" s="35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</row>
    <row r="844">
      <c r="A844" s="35"/>
      <c r="B844" s="35"/>
      <c r="C844" s="35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</row>
    <row r="845">
      <c r="A845" s="35"/>
      <c r="B845" s="35"/>
      <c r="C845" s="35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</row>
    <row r="846">
      <c r="A846" s="35"/>
      <c r="B846" s="35"/>
      <c r="C846" s="35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</row>
    <row r="847">
      <c r="A847" s="35"/>
      <c r="B847" s="35"/>
      <c r="C847" s="35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</row>
    <row r="848">
      <c r="A848" s="35"/>
      <c r="B848" s="35"/>
      <c r="C848" s="35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</row>
    <row r="849">
      <c r="A849" s="35"/>
      <c r="B849" s="35"/>
      <c r="C849" s="35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</row>
    <row r="850">
      <c r="A850" s="35"/>
      <c r="B850" s="35"/>
      <c r="C850" s="35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</row>
    <row r="851">
      <c r="A851" s="35"/>
      <c r="B851" s="35"/>
      <c r="C851" s="35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</row>
    <row r="852">
      <c r="A852" s="35"/>
      <c r="B852" s="35"/>
      <c r="C852" s="35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</row>
    <row r="853">
      <c r="A853" s="35"/>
      <c r="B853" s="35"/>
      <c r="C853" s="35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</row>
    <row r="854">
      <c r="A854" s="35"/>
      <c r="B854" s="35"/>
      <c r="C854" s="35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</row>
    <row r="855">
      <c r="A855" s="35"/>
      <c r="B855" s="35"/>
      <c r="C855" s="35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</row>
    <row r="856">
      <c r="A856" s="35"/>
      <c r="B856" s="35"/>
      <c r="C856" s="35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</row>
    <row r="857">
      <c r="A857" s="35"/>
      <c r="B857" s="35"/>
      <c r="C857" s="35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</row>
    <row r="858">
      <c r="A858" s="35"/>
      <c r="B858" s="35"/>
      <c r="C858" s="35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</row>
    <row r="859">
      <c r="A859" s="35"/>
      <c r="B859" s="35"/>
      <c r="C859" s="35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</row>
    <row r="860">
      <c r="A860" s="35"/>
      <c r="B860" s="35"/>
      <c r="C860" s="35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</row>
    <row r="861">
      <c r="A861" s="35"/>
      <c r="B861" s="35"/>
      <c r="C861" s="35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</row>
    <row r="862">
      <c r="A862" s="35"/>
      <c r="B862" s="35"/>
      <c r="C862" s="35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</row>
    <row r="863">
      <c r="A863" s="35"/>
      <c r="B863" s="35"/>
      <c r="C863" s="35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</row>
    <row r="864">
      <c r="A864" s="35"/>
      <c r="B864" s="35"/>
      <c r="C864" s="35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</row>
    <row r="865">
      <c r="A865" s="35"/>
      <c r="B865" s="35"/>
      <c r="C865" s="35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</row>
    <row r="866">
      <c r="A866" s="35"/>
      <c r="B866" s="35"/>
      <c r="C866" s="35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</row>
    <row r="867">
      <c r="A867" s="35"/>
      <c r="B867" s="35"/>
      <c r="C867" s="35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</row>
    <row r="868">
      <c r="A868" s="35"/>
      <c r="B868" s="35"/>
      <c r="C868" s="35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</row>
    <row r="869">
      <c r="A869" s="35"/>
      <c r="B869" s="35"/>
      <c r="C869" s="35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</row>
    <row r="870">
      <c r="A870" s="35"/>
      <c r="B870" s="35"/>
      <c r="C870" s="35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</row>
    <row r="871">
      <c r="A871" s="35"/>
      <c r="B871" s="35"/>
      <c r="C871" s="35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</row>
    <row r="872">
      <c r="A872" s="35"/>
      <c r="B872" s="35"/>
      <c r="C872" s="35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</row>
    <row r="873">
      <c r="A873" s="35"/>
      <c r="B873" s="35"/>
      <c r="C873" s="35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</row>
    <row r="874">
      <c r="A874" s="35"/>
      <c r="B874" s="35"/>
      <c r="C874" s="35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</row>
    <row r="875">
      <c r="A875" s="35"/>
      <c r="B875" s="35"/>
      <c r="C875" s="35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</row>
    <row r="876">
      <c r="A876" s="35"/>
      <c r="B876" s="35"/>
      <c r="C876" s="35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</row>
    <row r="877">
      <c r="A877" s="35"/>
      <c r="B877" s="35"/>
      <c r="C877" s="35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</row>
    <row r="878">
      <c r="A878" s="35"/>
      <c r="B878" s="35"/>
      <c r="C878" s="35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</row>
    <row r="879">
      <c r="A879" s="35"/>
      <c r="B879" s="35"/>
      <c r="C879" s="35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</row>
    <row r="880">
      <c r="A880" s="35"/>
      <c r="B880" s="35"/>
      <c r="C880" s="35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</row>
    <row r="881">
      <c r="A881" s="35"/>
      <c r="B881" s="35"/>
      <c r="C881" s="35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</row>
    <row r="882">
      <c r="A882" s="35"/>
      <c r="B882" s="35"/>
      <c r="C882" s="35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</row>
    <row r="883">
      <c r="A883" s="35"/>
      <c r="B883" s="35"/>
      <c r="C883" s="35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</row>
    <row r="884">
      <c r="A884" s="35"/>
      <c r="B884" s="35"/>
      <c r="C884" s="35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</row>
    <row r="885">
      <c r="A885" s="35"/>
      <c r="B885" s="35"/>
      <c r="C885" s="35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</row>
    <row r="886">
      <c r="A886" s="35"/>
      <c r="B886" s="35"/>
      <c r="C886" s="35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</row>
    <row r="887">
      <c r="A887" s="35"/>
      <c r="B887" s="35"/>
      <c r="C887" s="35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</row>
    <row r="888">
      <c r="A888" s="35"/>
      <c r="B888" s="35"/>
      <c r="C888" s="35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</row>
    <row r="889">
      <c r="A889" s="35"/>
      <c r="B889" s="35"/>
      <c r="C889" s="35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</row>
    <row r="890">
      <c r="A890" s="35"/>
      <c r="B890" s="35"/>
      <c r="C890" s="35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</row>
    <row r="891">
      <c r="A891" s="35"/>
      <c r="B891" s="35"/>
      <c r="C891" s="35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</row>
    <row r="892">
      <c r="A892" s="35"/>
      <c r="B892" s="35"/>
      <c r="C892" s="35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</row>
    <row r="893">
      <c r="A893" s="35"/>
      <c r="B893" s="35"/>
      <c r="C893" s="35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</row>
    <row r="894">
      <c r="A894" s="35"/>
      <c r="B894" s="35"/>
      <c r="C894" s="35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</row>
    <row r="895">
      <c r="A895" s="35"/>
      <c r="B895" s="35"/>
      <c r="C895" s="35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</row>
    <row r="896">
      <c r="A896" s="35"/>
      <c r="B896" s="35"/>
      <c r="C896" s="35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</row>
    <row r="897">
      <c r="A897" s="35"/>
      <c r="B897" s="35"/>
      <c r="C897" s="35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</row>
    <row r="898">
      <c r="A898" s="35"/>
      <c r="B898" s="35"/>
      <c r="C898" s="35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</row>
    <row r="899">
      <c r="A899" s="35"/>
      <c r="B899" s="35"/>
      <c r="C899" s="35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</row>
    <row r="900">
      <c r="A900" s="35"/>
      <c r="B900" s="35"/>
      <c r="C900" s="35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</row>
    <row r="901">
      <c r="A901" s="35"/>
      <c r="B901" s="35"/>
      <c r="C901" s="35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</row>
    <row r="902">
      <c r="A902" s="35"/>
      <c r="B902" s="35"/>
      <c r="C902" s="35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</row>
    <row r="903">
      <c r="A903" s="35"/>
      <c r="B903" s="35"/>
      <c r="C903" s="35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</row>
    <row r="904">
      <c r="A904" s="35"/>
      <c r="B904" s="35"/>
      <c r="C904" s="35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</row>
    <row r="905">
      <c r="A905" s="35"/>
      <c r="B905" s="35"/>
      <c r="C905" s="35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</row>
    <row r="906">
      <c r="A906" s="35"/>
      <c r="B906" s="35"/>
      <c r="C906" s="35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</row>
    <row r="907">
      <c r="A907" s="35"/>
      <c r="B907" s="35"/>
      <c r="C907" s="35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</row>
    <row r="908">
      <c r="A908" s="35"/>
      <c r="B908" s="35"/>
      <c r="C908" s="35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</row>
    <row r="909">
      <c r="A909" s="35"/>
      <c r="B909" s="35"/>
      <c r="C909" s="35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</row>
    <row r="910">
      <c r="A910" s="35"/>
      <c r="B910" s="35"/>
      <c r="C910" s="35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</row>
    <row r="911">
      <c r="A911" s="35"/>
      <c r="B911" s="35"/>
      <c r="C911" s="35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</row>
    <row r="912">
      <c r="A912" s="35"/>
      <c r="B912" s="35"/>
      <c r="C912" s="35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</row>
    <row r="913">
      <c r="A913" s="35"/>
      <c r="B913" s="35"/>
      <c r="C913" s="35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</row>
    <row r="914">
      <c r="A914" s="35"/>
      <c r="B914" s="35"/>
      <c r="C914" s="35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</row>
    <row r="915">
      <c r="A915" s="35"/>
      <c r="B915" s="35"/>
      <c r="C915" s="35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</row>
    <row r="916">
      <c r="A916" s="35"/>
      <c r="B916" s="35"/>
      <c r="C916" s="35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</row>
    <row r="917">
      <c r="A917" s="35"/>
      <c r="B917" s="35"/>
      <c r="C917" s="35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</row>
    <row r="918">
      <c r="A918" s="35"/>
      <c r="B918" s="35"/>
      <c r="C918" s="35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</row>
    <row r="919">
      <c r="A919" s="35"/>
      <c r="B919" s="35"/>
      <c r="C919" s="35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</row>
    <row r="920">
      <c r="A920" s="35"/>
      <c r="B920" s="35"/>
      <c r="C920" s="35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</row>
    <row r="921">
      <c r="A921" s="35"/>
      <c r="B921" s="35"/>
      <c r="C921" s="35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</row>
    <row r="922">
      <c r="A922" s="35"/>
      <c r="B922" s="35"/>
      <c r="C922" s="35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</row>
    <row r="923">
      <c r="A923" s="35"/>
      <c r="B923" s="35"/>
      <c r="C923" s="35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</row>
    <row r="924">
      <c r="A924" s="35"/>
      <c r="B924" s="35"/>
      <c r="C924" s="35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</row>
    <row r="925">
      <c r="A925" s="35"/>
      <c r="B925" s="35"/>
      <c r="C925" s="35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</row>
    <row r="926">
      <c r="A926" s="35"/>
      <c r="B926" s="35"/>
      <c r="C926" s="35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</row>
    <row r="927">
      <c r="A927" s="35"/>
      <c r="B927" s="35"/>
      <c r="C927" s="35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</row>
    <row r="928">
      <c r="A928" s="35"/>
      <c r="B928" s="35"/>
      <c r="C928" s="35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</row>
    <row r="929">
      <c r="A929" s="35"/>
      <c r="B929" s="35"/>
      <c r="C929" s="35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</row>
    <row r="930">
      <c r="A930" s="35"/>
      <c r="B930" s="35"/>
      <c r="C930" s="35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</row>
    <row r="931">
      <c r="A931" s="35"/>
      <c r="B931" s="35"/>
      <c r="C931" s="35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</row>
    <row r="932">
      <c r="A932" s="35"/>
      <c r="B932" s="35"/>
      <c r="C932" s="35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</row>
    <row r="933">
      <c r="A933" s="35"/>
      <c r="B933" s="35"/>
      <c r="C933" s="35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</row>
    <row r="934">
      <c r="A934" s="35"/>
      <c r="B934" s="35"/>
      <c r="C934" s="35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</row>
    <row r="935">
      <c r="A935" s="35"/>
      <c r="B935" s="35"/>
      <c r="C935" s="35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</row>
    <row r="936">
      <c r="A936" s="35"/>
      <c r="B936" s="35"/>
      <c r="C936" s="35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</row>
    <row r="937">
      <c r="A937" s="35"/>
      <c r="B937" s="35"/>
      <c r="C937" s="35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</row>
    <row r="938">
      <c r="A938" s="35"/>
      <c r="B938" s="35"/>
      <c r="C938" s="35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</row>
    <row r="939">
      <c r="A939" s="35"/>
      <c r="B939" s="35"/>
      <c r="C939" s="35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</row>
    <row r="940">
      <c r="A940" s="35"/>
      <c r="B940" s="35"/>
      <c r="C940" s="35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</row>
    <row r="941">
      <c r="A941" s="35"/>
      <c r="B941" s="35"/>
      <c r="C941" s="35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</row>
    <row r="942">
      <c r="A942" s="35"/>
      <c r="B942" s="35"/>
      <c r="C942" s="35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</row>
    <row r="943">
      <c r="A943" s="35"/>
      <c r="B943" s="35"/>
      <c r="C943" s="35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</row>
    <row r="944">
      <c r="A944" s="35"/>
      <c r="B944" s="35"/>
      <c r="C944" s="35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</row>
    <row r="945">
      <c r="A945" s="35"/>
      <c r="B945" s="35"/>
      <c r="C945" s="35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</row>
    <row r="946">
      <c r="A946" s="35"/>
      <c r="B946" s="35"/>
      <c r="C946" s="35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</row>
    <row r="947">
      <c r="A947" s="35"/>
      <c r="B947" s="35"/>
      <c r="C947" s="35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</row>
    <row r="948">
      <c r="A948" s="35"/>
      <c r="B948" s="35"/>
      <c r="C948" s="35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</row>
    <row r="949">
      <c r="A949" s="35"/>
      <c r="B949" s="35"/>
      <c r="C949" s="35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</row>
    <row r="950">
      <c r="A950" s="35"/>
      <c r="B950" s="35"/>
      <c r="C950" s="35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</row>
    <row r="951">
      <c r="A951" s="35"/>
      <c r="B951" s="35"/>
      <c r="C951" s="35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</row>
    <row r="952">
      <c r="A952" s="35"/>
      <c r="B952" s="35"/>
      <c r="C952" s="35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</row>
    <row r="953">
      <c r="A953" s="35"/>
      <c r="B953" s="35"/>
      <c r="C953" s="35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</row>
    <row r="954">
      <c r="A954" s="35"/>
      <c r="B954" s="35"/>
      <c r="C954" s="35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</row>
    <row r="955">
      <c r="A955" s="35"/>
      <c r="B955" s="35"/>
      <c r="C955" s="35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</row>
    <row r="956">
      <c r="A956" s="35"/>
      <c r="B956" s="35"/>
      <c r="C956" s="35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</row>
    <row r="957">
      <c r="A957" s="35"/>
      <c r="B957" s="35"/>
      <c r="C957" s="35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</row>
    <row r="958">
      <c r="A958" s="35"/>
      <c r="B958" s="35"/>
      <c r="C958" s="35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</row>
    <row r="959">
      <c r="A959" s="35"/>
      <c r="B959" s="35"/>
      <c r="C959" s="35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</row>
    <row r="960">
      <c r="A960" s="35"/>
      <c r="B960" s="35"/>
      <c r="C960" s="35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</row>
    <row r="961">
      <c r="A961" s="35"/>
      <c r="B961" s="35"/>
      <c r="C961" s="35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</row>
    <row r="962">
      <c r="A962" s="35"/>
      <c r="B962" s="35"/>
      <c r="C962" s="35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</row>
    <row r="963">
      <c r="A963" s="35"/>
      <c r="B963" s="35"/>
      <c r="C963" s="35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</row>
    <row r="964">
      <c r="A964" s="35"/>
      <c r="B964" s="35"/>
      <c r="C964" s="35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</row>
    <row r="965">
      <c r="A965" s="35"/>
      <c r="B965" s="35"/>
      <c r="C965" s="35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</row>
    <row r="966">
      <c r="A966" s="35"/>
      <c r="B966" s="35"/>
      <c r="C966" s="35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</row>
    <row r="967">
      <c r="A967" s="35"/>
      <c r="B967" s="35"/>
      <c r="C967" s="35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</row>
    <row r="968">
      <c r="A968" s="35"/>
      <c r="B968" s="35"/>
      <c r="C968" s="35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</row>
    <row r="969">
      <c r="A969" s="35"/>
      <c r="B969" s="35"/>
      <c r="C969" s="35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</row>
    <row r="970">
      <c r="A970" s="35"/>
      <c r="B970" s="35"/>
      <c r="C970" s="35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</row>
    <row r="971">
      <c r="A971" s="35"/>
      <c r="B971" s="35"/>
      <c r="C971" s="35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</row>
  </sheetData>
  <mergeCells count="24">
    <mergeCell ref="K5:K6"/>
    <mergeCell ref="L5:L6"/>
    <mergeCell ref="M5:M6"/>
    <mergeCell ref="N5:N6"/>
    <mergeCell ref="B1:O4"/>
    <mergeCell ref="A5:A6"/>
    <mergeCell ref="B5:B6"/>
    <mergeCell ref="C5:C6"/>
    <mergeCell ref="D5:D6"/>
    <mergeCell ref="J5:J6"/>
    <mergeCell ref="O5:O6"/>
    <mergeCell ref="J30:J31"/>
    <mergeCell ref="K30:K31"/>
    <mergeCell ref="L30:L31"/>
    <mergeCell ref="M30:M31"/>
    <mergeCell ref="N30:N31"/>
    <mergeCell ref="O30:O31"/>
    <mergeCell ref="E5:I5"/>
    <mergeCell ref="B26:O29"/>
    <mergeCell ref="A30:A31"/>
    <mergeCell ref="B30:B31"/>
    <mergeCell ref="C30:C31"/>
    <mergeCell ref="D30:D31"/>
    <mergeCell ref="E30:I30"/>
  </mergeCells>
  <conditionalFormatting sqref="K7:K24 M7:M24 K32:K49 M32:M49">
    <cfRule type="cellIs" dxfId="0" priority="1" operator="between">
      <formula>"0%"</formula>
      <formula>"79.99%"</formula>
    </cfRule>
  </conditionalFormatting>
  <conditionalFormatting sqref="K7:K24 M7:M24 K32:K49 M32:M49">
    <cfRule type="cellIs" dxfId="1" priority="2" operator="between">
      <formula>"80%"</formula>
      <formula>"99.99%"</formula>
    </cfRule>
  </conditionalFormatting>
  <conditionalFormatting sqref="K7:K24 M7:M24 K32:K49 M32:M49">
    <cfRule type="cellIs" dxfId="2" priority="3" operator="between">
      <formula>"100%"</formula>
      <formula>"500%"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5.13"/>
    <col customWidth="1" min="3" max="3" width="22.88"/>
    <col customWidth="1" min="4" max="4" width="22.63"/>
    <col customWidth="1" min="5" max="5" width="15.13"/>
    <col customWidth="1" min="13" max="13" width="13.63"/>
    <col customWidth="1" min="16" max="16" width="24.0"/>
  </cols>
  <sheetData>
    <row r="1" ht="14.25" customHeight="1">
      <c r="A1" s="69" t="s">
        <v>0</v>
      </c>
      <c r="B1" s="42" t="s">
        <v>64</v>
      </c>
    </row>
    <row r="2" ht="11.25" customHeight="1">
      <c r="A2" s="3"/>
    </row>
    <row r="3">
      <c r="A3" s="3"/>
    </row>
    <row r="4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>
      <c r="A5" s="5" t="s">
        <v>2</v>
      </c>
      <c r="B5" s="5" t="s">
        <v>3</v>
      </c>
      <c r="C5" s="5" t="s">
        <v>4</v>
      </c>
      <c r="D5" s="6" t="s">
        <v>5</v>
      </c>
      <c r="E5" s="7" t="s">
        <v>6</v>
      </c>
      <c r="F5" s="4"/>
      <c r="G5" s="4"/>
      <c r="H5" s="4"/>
      <c r="I5" s="8"/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12</v>
      </c>
    </row>
    <row r="6">
      <c r="A6" s="8"/>
      <c r="B6" s="8"/>
      <c r="C6" s="8"/>
      <c r="D6" s="8"/>
      <c r="E6" s="9" t="s">
        <v>13</v>
      </c>
      <c r="F6" s="9" t="s">
        <v>14</v>
      </c>
      <c r="G6" s="9" t="s">
        <v>15</v>
      </c>
      <c r="H6" s="9" t="s">
        <v>16</v>
      </c>
      <c r="I6" s="9" t="s">
        <v>17</v>
      </c>
      <c r="J6" s="8"/>
      <c r="K6" s="8"/>
      <c r="L6" s="8"/>
      <c r="M6" s="8"/>
      <c r="N6" s="8"/>
      <c r="O6" s="8"/>
    </row>
    <row r="7">
      <c r="A7" s="10">
        <v>95.0</v>
      </c>
      <c r="B7" s="11" t="s">
        <v>18</v>
      </c>
      <c r="C7" s="11" t="s">
        <v>19</v>
      </c>
      <c r="D7" s="12">
        <v>8.97E8</v>
      </c>
      <c r="E7" s="12">
        <v>2.2163189565E8</v>
      </c>
      <c r="F7" s="12">
        <v>1.7669008355E8</v>
      </c>
      <c r="G7" s="12">
        <v>1.8963180109E8</v>
      </c>
      <c r="H7" s="13">
        <v>2.4626034295E8</v>
      </c>
      <c r="I7" s="13"/>
      <c r="J7" s="14">
        <f t="shared" ref="J7:J9" si="1">SUM(E7:I7)</f>
        <v>834214123.2</v>
      </c>
      <c r="K7" s="15">
        <f t="shared" ref="K7:K24" si="2">J7/D7</f>
        <v>0.9300045967</v>
      </c>
      <c r="L7" s="16">
        <f t="shared" ref="L7:L9" si="3">J7/O7*N7</f>
        <v>834214123.2</v>
      </c>
      <c r="M7" s="17">
        <f t="shared" ref="M7:M9" si="4">L7/D7</f>
        <v>0.9300045967</v>
      </c>
      <c r="N7" s="18">
        <v>24.0</v>
      </c>
      <c r="O7" s="19">
        <v>24.0</v>
      </c>
      <c r="P7" s="20" t="s">
        <v>65</v>
      </c>
    </row>
    <row r="8">
      <c r="A8" s="10">
        <v>6.0</v>
      </c>
      <c r="B8" s="11" t="s">
        <v>21</v>
      </c>
      <c r="C8" s="11" t="s">
        <v>19</v>
      </c>
      <c r="D8" s="12">
        <v>6.6E7</v>
      </c>
      <c r="E8" s="12">
        <v>1.124047096E7</v>
      </c>
      <c r="F8" s="12">
        <v>1.36241324E7</v>
      </c>
      <c r="G8" s="12">
        <v>1.066070616E7</v>
      </c>
      <c r="H8" s="13">
        <v>1.451080022E7</v>
      </c>
      <c r="I8" s="12"/>
      <c r="J8" s="14">
        <f t="shared" si="1"/>
        <v>50036109.74</v>
      </c>
      <c r="K8" s="15">
        <f t="shared" si="2"/>
        <v>0.7581228748</v>
      </c>
      <c r="L8" s="16">
        <f t="shared" si="3"/>
        <v>50036109.74</v>
      </c>
      <c r="M8" s="17">
        <f t="shared" si="4"/>
        <v>0.7581228748</v>
      </c>
      <c r="N8" s="18">
        <v>24.0</v>
      </c>
      <c r="O8" s="19">
        <v>24.0</v>
      </c>
      <c r="P8" s="20" t="s">
        <v>65</v>
      </c>
    </row>
    <row r="9">
      <c r="A9" s="10">
        <v>64.0</v>
      </c>
      <c r="B9" s="10" t="s">
        <v>22</v>
      </c>
      <c r="C9" s="11" t="s">
        <v>19</v>
      </c>
      <c r="D9" s="12">
        <v>5.0E8</v>
      </c>
      <c r="E9" s="12">
        <v>7.70065E7</v>
      </c>
      <c r="F9" s="12">
        <v>1.06457E8</v>
      </c>
      <c r="G9" s="12">
        <v>8.0781E7</v>
      </c>
      <c r="H9" s="12">
        <v>8.92169E7</v>
      </c>
      <c r="I9" s="12"/>
      <c r="J9" s="14">
        <f t="shared" si="1"/>
        <v>353461400</v>
      </c>
      <c r="K9" s="15">
        <f t="shared" si="2"/>
        <v>0.7069228</v>
      </c>
      <c r="L9" s="16">
        <f t="shared" si="3"/>
        <v>353461400</v>
      </c>
      <c r="M9" s="17">
        <f t="shared" si="4"/>
        <v>0.7069228</v>
      </c>
      <c r="N9" s="18">
        <v>24.0</v>
      </c>
      <c r="O9" s="19">
        <v>24.0</v>
      </c>
      <c r="P9" s="20" t="s">
        <v>66</v>
      </c>
      <c r="Q9" s="20" t="s">
        <v>67</v>
      </c>
    </row>
    <row r="10">
      <c r="A10" s="10">
        <v>2.0</v>
      </c>
      <c r="B10" s="10" t="s">
        <v>24</v>
      </c>
      <c r="C10" s="10" t="s">
        <v>68</v>
      </c>
      <c r="D10" s="21">
        <v>1.0</v>
      </c>
      <c r="E10" s="21">
        <v>0.95</v>
      </c>
      <c r="F10" s="21">
        <v>1.59</v>
      </c>
      <c r="G10" s="21">
        <v>1.94</v>
      </c>
      <c r="H10" s="21">
        <v>2.99</v>
      </c>
      <c r="I10" s="13"/>
      <c r="J10" s="57">
        <f t="shared" ref="J10:J11" si="5">H10</f>
        <v>2.99</v>
      </c>
      <c r="K10" s="15">
        <f t="shared" si="2"/>
        <v>2.99</v>
      </c>
      <c r="L10" s="58">
        <f t="shared" ref="L10:L11" si="6">K10</f>
        <v>2.99</v>
      </c>
      <c r="M10" s="43">
        <f>K10</f>
        <v>2.99</v>
      </c>
      <c r="N10" s="18">
        <v>20.0</v>
      </c>
      <c r="O10" s="19">
        <v>21.0</v>
      </c>
      <c r="P10" s="20" t="s">
        <v>66</v>
      </c>
      <c r="Q10" s="20" t="s">
        <v>67</v>
      </c>
    </row>
    <row r="11">
      <c r="A11" s="10">
        <v>10.0</v>
      </c>
      <c r="B11" s="10" t="s">
        <v>25</v>
      </c>
      <c r="C11" s="11" t="s">
        <v>26</v>
      </c>
      <c r="D11" s="21">
        <v>0.8</v>
      </c>
      <c r="E11" s="23">
        <v>0.1177</v>
      </c>
      <c r="F11" s="23">
        <v>0.5265</v>
      </c>
      <c r="G11" s="21">
        <v>0.6287</v>
      </c>
      <c r="H11" s="24">
        <v>0.957</v>
      </c>
      <c r="I11" s="24"/>
      <c r="J11" s="57">
        <f t="shared" si="5"/>
        <v>0.957</v>
      </c>
      <c r="K11" s="15">
        <f t="shared" si="2"/>
        <v>1.19625</v>
      </c>
      <c r="L11" s="58">
        <f t="shared" si="6"/>
        <v>1.19625</v>
      </c>
      <c r="M11" s="28">
        <f t="shared" ref="M11:M23" si="7">L11/D11</f>
        <v>1.4953125</v>
      </c>
      <c r="N11" s="18">
        <v>20.0</v>
      </c>
      <c r="O11" s="19">
        <v>21.0</v>
      </c>
      <c r="P11" s="20" t="s">
        <v>66</v>
      </c>
      <c r="Q11" s="20" t="s">
        <v>67</v>
      </c>
    </row>
    <row r="12">
      <c r="A12" s="10">
        <v>26.0</v>
      </c>
      <c r="B12" s="10" t="s">
        <v>27</v>
      </c>
      <c r="C12" s="11" t="s">
        <v>19</v>
      </c>
      <c r="D12" s="19">
        <v>1663.0</v>
      </c>
      <c r="E12" s="18">
        <v>172.0</v>
      </c>
      <c r="F12" s="18">
        <v>179.0</v>
      </c>
      <c r="G12" s="18">
        <v>245.0</v>
      </c>
      <c r="H12" s="18">
        <v>202.0</v>
      </c>
      <c r="I12" s="29">
        <v>85.0</v>
      </c>
      <c r="J12" s="30">
        <f t="shared" ref="J12:J23" si="8">SUM(E12:I12)</f>
        <v>883</v>
      </c>
      <c r="K12" s="15">
        <f t="shared" si="2"/>
        <v>0.5309681299</v>
      </c>
      <c r="L12" s="16">
        <f t="shared" ref="L12:L23" si="9">J12/O12*N12</f>
        <v>883</v>
      </c>
      <c r="M12" s="17">
        <f t="shared" si="7"/>
        <v>0.5309681299</v>
      </c>
      <c r="N12" s="18">
        <v>21.0</v>
      </c>
      <c r="O12" s="18">
        <v>21.0</v>
      </c>
      <c r="P12" s="20" t="s">
        <v>69</v>
      </c>
    </row>
    <row r="13">
      <c r="A13" s="10">
        <v>15.0</v>
      </c>
      <c r="B13" s="10" t="s">
        <v>29</v>
      </c>
      <c r="C13" s="11" t="s">
        <v>19</v>
      </c>
      <c r="D13" s="19">
        <v>4.91395E7</v>
      </c>
      <c r="E13" s="19">
        <v>1.1716E7</v>
      </c>
      <c r="F13" s="12">
        <v>1.1186E7</v>
      </c>
      <c r="G13" s="12">
        <v>1.5573E7</v>
      </c>
      <c r="H13" s="12">
        <v>2.703E7</v>
      </c>
      <c r="I13" s="19">
        <v>6499000.0</v>
      </c>
      <c r="J13" s="30">
        <f t="shared" si="8"/>
        <v>72004000</v>
      </c>
      <c r="K13" s="15">
        <f t="shared" si="2"/>
        <v>1.465297775</v>
      </c>
      <c r="L13" s="16">
        <f t="shared" si="9"/>
        <v>72004000</v>
      </c>
      <c r="M13" s="17">
        <f t="shared" si="7"/>
        <v>1.465297775</v>
      </c>
      <c r="N13" s="18">
        <v>21.0</v>
      </c>
      <c r="O13" s="18">
        <v>21.0</v>
      </c>
      <c r="P13" s="20" t="s">
        <v>69</v>
      </c>
    </row>
    <row r="14">
      <c r="A14" s="10">
        <v>35.0</v>
      </c>
      <c r="B14" s="10" t="s">
        <v>31</v>
      </c>
      <c r="C14" s="11" t="s">
        <v>19</v>
      </c>
      <c r="D14" s="12">
        <v>2.97003282E8</v>
      </c>
      <c r="E14" s="19">
        <v>5.5545187E7</v>
      </c>
      <c r="F14" s="19">
        <v>6.4631498E7</v>
      </c>
      <c r="G14" s="19">
        <v>4.1319829E7</v>
      </c>
      <c r="H14" s="19">
        <v>4.7793341E7</v>
      </c>
      <c r="I14" s="18"/>
      <c r="J14" s="30">
        <f t="shared" si="8"/>
        <v>209289855</v>
      </c>
      <c r="K14" s="15">
        <f t="shared" si="2"/>
        <v>0.7046718595</v>
      </c>
      <c r="L14" s="16">
        <f t="shared" si="9"/>
        <v>209289855</v>
      </c>
      <c r="M14" s="17">
        <f t="shared" si="7"/>
        <v>0.7046718595</v>
      </c>
      <c r="N14" s="18">
        <v>21.0</v>
      </c>
      <c r="O14" s="18">
        <v>21.0</v>
      </c>
      <c r="P14" s="20" t="s">
        <v>70</v>
      </c>
    </row>
    <row r="15" ht="17.25" customHeight="1">
      <c r="A15" s="10">
        <v>102.0</v>
      </c>
      <c r="B15" s="11" t="s">
        <v>32</v>
      </c>
      <c r="C15" s="11" t="s">
        <v>19</v>
      </c>
      <c r="D15" s="19">
        <f>6*102*20</f>
        <v>12240</v>
      </c>
      <c r="E15" s="18">
        <v>2232.0</v>
      </c>
      <c r="F15" s="18">
        <v>3051.0</v>
      </c>
      <c r="G15" s="18">
        <v>3281.0</v>
      </c>
      <c r="H15" s="18">
        <f>1319+523+537+846+419</f>
        <v>3644</v>
      </c>
      <c r="I15" s="18"/>
      <c r="J15" s="30">
        <f t="shared" si="8"/>
        <v>12208</v>
      </c>
      <c r="K15" s="15">
        <f t="shared" si="2"/>
        <v>0.9973856209</v>
      </c>
      <c r="L15" s="16">
        <f t="shared" si="9"/>
        <v>12208</v>
      </c>
      <c r="M15" s="17">
        <f t="shared" si="7"/>
        <v>0.9973856209</v>
      </c>
      <c r="N15" s="18">
        <v>21.0</v>
      </c>
      <c r="O15" s="18">
        <v>21.0</v>
      </c>
      <c r="P15" s="20" t="s">
        <v>71</v>
      </c>
    </row>
    <row r="16">
      <c r="A16" s="10">
        <v>4.0</v>
      </c>
      <c r="B16" s="10" t="s">
        <v>72</v>
      </c>
      <c r="C16" s="11" t="s">
        <v>19</v>
      </c>
      <c r="D16" s="19">
        <v>2396.0</v>
      </c>
      <c r="E16" s="18">
        <v>623.0</v>
      </c>
      <c r="F16" s="18">
        <v>702.0</v>
      </c>
      <c r="G16" s="18">
        <v>611.0</v>
      </c>
      <c r="H16" s="18">
        <f>302+123+118+116+109</f>
        <v>768</v>
      </c>
      <c r="I16" s="18"/>
      <c r="J16" s="45">
        <f t="shared" si="8"/>
        <v>2704</v>
      </c>
      <c r="K16" s="15">
        <f t="shared" si="2"/>
        <v>1.128547579</v>
      </c>
      <c r="L16" s="16">
        <f t="shared" si="9"/>
        <v>2704</v>
      </c>
      <c r="M16" s="17">
        <f t="shared" si="7"/>
        <v>1.128547579</v>
      </c>
      <c r="N16" s="18">
        <v>21.0</v>
      </c>
      <c r="O16" s="18">
        <v>21.0</v>
      </c>
      <c r="P16" s="20" t="str">
        <f>P15</f>
        <v>As of March 31 2025</v>
      </c>
    </row>
    <row r="17">
      <c r="A17" s="10">
        <v>32.0</v>
      </c>
      <c r="B17" s="11" t="s">
        <v>35</v>
      </c>
      <c r="C17" s="11" t="s">
        <v>19</v>
      </c>
      <c r="D17" s="19">
        <f>12740000*28</f>
        <v>356720000</v>
      </c>
      <c r="E17" s="19">
        <f>32465000+27586000+35891000+25581000+15000000</f>
        <v>136523000</v>
      </c>
      <c r="F17" s="19">
        <f>39918000+30725000+28790000+28323900+25594000</f>
        <v>153350900</v>
      </c>
      <c r="G17" s="19">
        <f>36737500+40518000+36693000+31082000+26157000</f>
        <v>171187500</v>
      </c>
      <c r="H17" s="18">
        <f>28252000+31815000+25445520+17894000+27561000</f>
        <v>130967520</v>
      </c>
      <c r="I17" s="19">
        <v>3.4432E7</v>
      </c>
      <c r="J17" s="30">
        <f t="shared" si="8"/>
        <v>626460920</v>
      </c>
      <c r="K17" s="15">
        <f t="shared" si="2"/>
        <v>1.756169881</v>
      </c>
      <c r="L17" s="16">
        <f t="shared" si="9"/>
        <v>626460920</v>
      </c>
      <c r="M17" s="17">
        <f t="shared" si="7"/>
        <v>1.756169881</v>
      </c>
      <c r="N17" s="18">
        <v>21.0</v>
      </c>
      <c r="O17" s="18">
        <v>21.0</v>
      </c>
      <c r="P17" s="20" t="s">
        <v>70</v>
      </c>
    </row>
    <row r="18">
      <c r="A18" s="10">
        <v>11.0</v>
      </c>
      <c r="B18" s="11" t="s">
        <v>37</v>
      </c>
      <c r="C18" s="11" t="s">
        <v>19</v>
      </c>
      <c r="D18" s="12">
        <v>1800.0</v>
      </c>
      <c r="E18" s="19">
        <v>208.0</v>
      </c>
      <c r="F18" s="34">
        <v>219.0</v>
      </c>
      <c r="G18" s="34">
        <f>44+37+29+39+37+32</f>
        <v>218</v>
      </c>
      <c r="H18" s="34">
        <f>41+31+50+25+45</f>
        <v>192</v>
      </c>
      <c r="I18" s="34">
        <v>19.0</v>
      </c>
      <c r="J18" s="30">
        <f t="shared" si="8"/>
        <v>856</v>
      </c>
      <c r="K18" s="15">
        <f t="shared" si="2"/>
        <v>0.4755555556</v>
      </c>
      <c r="L18" s="16">
        <f t="shared" si="9"/>
        <v>856</v>
      </c>
      <c r="M18" s="17">
        <f t="shared" si="7"/>
        <v>0.4755555556</v>
      </c>
      <c r="N18" s="18">
        <v>21.0</v>
      </c>
      <c r="O18" s="18">
        <v>21.0</v>
      </c>
      <c r="P18" s="20" t="s">
        <v>70</v>
      </c>
    </row>
    <row r="19">
      <c r="A19" s="10">
        <v>1.0</v>
      </c>
      <c r="B19" s="11" t="s">
        <v>38</v>
      </c>
      <c r="C19" s="11" t="s">
        <v>19</v>
      </c>
      <c r="D19" s="12">
        <v>550.0</v>
      </c>
      <c r="E19" s="19">
        <v>123.0</v>
      </c>
      <c r="F19" s="29">
        <v>109.0</v>
      </c>
      <c r="G19" s="29">
        <f>13+31+27+27+13+25</f>
        <v>136</v>
      </c>
      <c r="H19" s="29">
        <f>17+25+21+19+24</f>
        <v>106</v>
      </c>
      <c r="I19" s="29">
        <v>15.0</v>
      </c>
      <c r="J19" s="30">
        <f t="shared" si="8"/>
        <v>489</v>
      </c>
      <c r="K19" s="15">
        <f t="shared" si="2"/>
        <v>0.8890909091</v>
      </c>
      <c r="L19" s="16">
        <f t="shared" si="9"/>
        <v>489</v>
      </c>
      <c r="M19" s="17">
        <f t="shared" si="7"/>
        <v>0.8890909091</v>
      </c>
      <c r="N19" s="18">
        <v>21.0</v>
      </c>
      <c r="O19" s="18">
        <v>21.0</v>
      </c>
      <c r="P19" s="20" t="s">
        <v>70</v>
      </c>
    </row>
    <row r="20">
      <c r="A20" s="10">
        <v>2.0</v>
      </c>
      <c r="B20" s="10" t="s">
        <v>39</v>
      </c>
      <c r="C20" s="11" t="s">
        <v>19</v>
      </c>
      <c r="D20" s="12">
        <v>960.0</v>
      </c>
      <c r="E20" s="19">
        <v>142.0</v>
      </c>
      <c r="F20" s="29">
        <v>258.0</v>
      </c>
      <c r="G20" s="29">
        <f>45+51+48+58+49+29</f>
        <v>280</v>
      </c>
      <c r="H20" s="29">
        <f>52+75+45+40+77</f>
        <v>289</v>
      </c>
      <c r="I20" s="29">
        <v>91.0</v>
      </c>
      <c r="J20" s="30">
        <f t="shared" si="8"/>
        <v>1060</v>
      </c>
      <c r="K20" s="15">
        <f t="shared" si="2"/>
        <v>1.104166667</v>
      </c>
      <c r="L20" s="16">
        <f t="shared" si="9"/>
        <v>1060</v>
      </c>
      <c r="M20" s="17">
        <f t="shared" si="7"/>
        <v>1.104166667</v>
      </c>
      <c r="N20" s="18">
        <v>21.0</v>
      </c>
      <c r="O20" s="18">
        <v>21.0</v>
      </c>
      <c r="P20" s="20" t="s">
        <v>70</v>
      </c>
    </row>
    <row r="21">
      <c r="A21" s="10">
        <v>20.0</v>
      </c>
      <c r="B21" s="10" t="s">
        <v>40</v>
      </c>
      <c r="C21" s="11" t="s">
        <v>19</v>
      </c>
      <c r="D21" s="12">
        <v>400.0</v>
      </c>
      <c r="E21" s="19">
        <v>89.0</v>
      </c>
      <c r="F21" s="29">
        <v>124.0</v>
      </c>
      <c r="G21" s="29">
        <v>100.0</v>
      </c>
      <c r="H21" s="29">
        <v>69.0</v>
      </c>
      <c r="I21" s="29">
        <v>13.0</v>
      </c>
      <c r="J21" s="30">
        <f t="shared" si="8"/>
        <v>395</v>
      </c>
      <c r="K21" s="15">
        <f t="shared" si="2"/>
        <v>0.9875</v>
      </c>
      <c r="L21" s="16">
        <f t="shared" si="9"/>
        <v>395</v>
      </c>
      <c r="M21" s="17">
        <f t="shared" si="7"/>
        <v>0.9875</v>
      </c>
      <c r="N21" s="18">
        <v>21.0</v>
      </c>
      <c r="O21" s="18">
        <v>21.0</v>
      </c>
      <c r="P21" s="20" t="s">
        <v>70</v>
      </c>
    </row>
    <row r="22">
      <c r="A22" s="10">
        <v>21.0</v>
      </c>
      <c r="B22" s="10" t="s">
        <v>73</v>
      </c>
      <c r="C22" s="11" t="s">
        <v>19</v>
      </c>
      <c r="D22" s="12">
        <v>2485.0</v>
      </c>
      <c r="E22" s="19">
        <v>349.0</v>
      </c>
      <c r="F22" s="29">
        <v>617.0</v>
      </c>
      <c r="G22" s="29">
        <v>340.0</v>
      </c>
      <c r="H22" s="32">
        <v>507.0</v>
      </c>
      <c r="I22" s="29">
        <v>78.0</v>
      </c>
      <c r="J22" s="30">
        <f t="shared" si="8"/>
        <v>1891</v>
      </c>
      <c r="K22" s="15">
        <f t="shared" si="2"/>
        <v>0.7609657948</v>
      </c>
      <c r="L22" s="16">
        <f t="shared" si="9"/>
        <v>1891</v>
      </c>
      <c r="M22" s="17">
        <f t="shared" si="7"/>
        <v>0.7609657948</v>
      </c>
      <c r="N22" s="18">
        <v>22.0</v>
      </c>
      <c r="O22" s="18">
        <v>22.0</v>
      </c>
      <c r="P22" s="20" t="s">
        <v>74</v>
      </c>
    </row>
    <row r="23">
      <c r="A23" s="10">
        <v>1.0</v>
      </c>
      <c r="B23" s="10" t="s">
        <v>43</v>
      </c>
      <c r="C23" s="11" t="s">
        <v>19</v>
      </c>
      <c r="D23" s="12">
        <v>30.0</v>
      </c>
      <c r="E23" s="12">
        <v>7.0</v>
      </c>
      <c r="F23" s="12">
        <v>8.0</v>
      </c>
      <c r="G23" s="12">
        <v>9.0</v>
      </c>
      <c r="H23" s="12">
        <v>5.0</v>
      </c>
      <c r="I23" s="12">
        <v>2.0</v>
      </c>
      <c r="J23" s="14">
        <f t="shared" si="8"/>
        <v>31</v>
      </c>
      <c r="K23" s="15">
        <f t="shared" si="2"/>
        <v>1.033333333</v>
      </c>
      <c r="L23" s="16">
        <f t="shared" si="9"/>
        <v>31</v>
      </c>
      <c r="M23" s="17">
        <f t="shared" si="7"/>
        <v>1.033333333</v>
      </c>
      <c r="N23" s="18">
        <v>20.0</v>
      </c>
      <c r="O23" s="18">
        <v>20.0</v>
      </c>
      <c r="P23" s="20" t="s">
        <v>70</v>
      </c>
    </row>
    <row r="24">
      <c r="A24" s="10">
        <v>45.0</v>
      </c>
      <c r="B24" s="10" t="s">
        <v>44</v>
      </c>
      <c r="C24" s="11" t="s">
        <v>19</v>
      </c>
      <c r="D24" s="21">
        <v>0.85</v>
      </c>
      <c r="E24" s="21">
        <v>0.87</v>
      </c>
      <c r="F24" s="24">
        <v>0.91</v>
      </c>
      <c r="G24" s="24">
        <v>0.93</v>
      </c>
      <c r="H24" s="24">
        <v>0.95</v>
      </c>
      <c r="I24" s="24">
        <v>0.94</v>
      </c>
      <c r="J24" s="57">
        <f>AVERAGE(E24:I24)</f>
        <v>0.92</v>
      </c>
      <c r="K24" s="15">
        <f t="shared" si="2"/>
        <v>1.082352941</v>
      </c>
      <c r="L24" s="22">
        <f>K24</f>
        <v>1.082352941</v>
      </c>
      <c r="M24" s="17">
        <f>K24</f>
        <v>1.082352941</v>
      </c>
      <c r="N24" s="18">
        <v>31.0</v>
      </c>
      <c r="O24" s="18">
        <v>31.0</v>
      </c>
      <c r="P24" s="20" t="s">
        <v>70</v>
      </c>
    </row>
    <row r="25">
      <c r="A25" s="35"/>
      <c r="B25" s="35"/>
      <c r="C25" s="35"/>
      <c r="D25" s="36"/>
      <c r="E25" s="37"/>
      <c r="F25" s="38"/>
      <c r="G25" s="38"/>
      <c r="H25" s="36"/>
      <c r="I25" s="38"/>
      <c r="J25" s="37"/>
      <c r="K25" s="39"/>
      <c r="L25" s="40"/>
      <c r="M25" s="41"/>
      <c r="N25" s="38"/>
      <c r="O25" s="38"/>
    </row>
    <row r="26" ht="15.0" customHeight="1">
      <c r="A26" s="1" t="s">
        <v>0</v>
      </c>
      <c r="B26" s="42" t="s">
        <v>75</v>
      </c>
    </row>
    <row r="27" ht="10.5" customHeight="1">
      <c r="A27" s="3"/>
    </row>
    <row r="28">
      <c r="A28" s="3"/>
    </row>
    <row r="29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>
      <c r="A30" s="5" t="s">
        <v>2</v>
      </c>
      <c r="B30" s="5" t="s">
        <v>3</v>
      </c>
      <c r="C30" s="5" t="s">
        <v>4</v>
      </c>
      <c r="D30" s="6" t="s">
        <v>5</v>
      </c>
      <c r="E30" s="7" t="s">
        <v>6</v>
      </c>
      <c r="F30" s="4"/>
      <c r="G30" s="4"/>
      <c r="H30" s="4"/>
      <c r="I30" s="8"/>
      <c r="J30" s="6" t="s">
        <v>7</v>
      </c>
      <c r="K30" s="6" t="s">
        <v>8</v>
      </c>
      <c r="L30" s="6" t="s">
        <v>9</v>
      </c>
      <c r="M30" s="6" t="s">
        <v>10</v>
      </c>
      <c r="N30" s="6" t="s">
        <v>11</v>
      </c>
      <c r="O30" s="6" t="s">
        <v>12</v>
      </c>
    </row>
    <row r="31">
      <c r="A31" s="8"/>
      <c r="B31" s="8"/>
      <c r="C31" s="8"/>
      <c r="D31" s="8"/>
      <c r="E31" s="9" t="s">
        <v>13</v>
      </c>
      <c r="F31" s="9" t="s">
        <v>14</v>
      </c>
      <c r="G31" s="9" t="s">
        <v>15</v>
      </c>
      <c r="H31" s="9" t="s">
        <v>16</v>
      </c>
      <c r="I31" s="9" t="s">
        <v>17</v>
      </c>
      <c r="J31" s="8"/>
      <c r="K31" s="8"/>
      <c r="L31" s="8"/>
      <c r="M31" s="8"/>
      <c r="N31" s="8"/>
      <c r="O31" s="8"/>
    </row>
    <row r="32">
      <c r="A32" s="10">
        <v>95.0</v>
      </c>
      <c r="B32" s="11" t="s">
        <v>18</v>
      </c>
      <c r="C32" s="11" t="s">
        <v>19</v>
      </c>
      <c r="D32" s="19">
        <v>8.075E8</v>
      </c>
      <c r="E32" s="12">
        <v>1.5945608806E8</v>
      </c>
      <c r="F32" s="12">
        <v>1.6744084283E8</v>
      </c>
      <c r="G32" s="12">
        <v>1.809985659E8</v>
      </c>
      <c r="H32" s="13">
        <f>113231370.25+83698652.8</f>
        <v>196930023.1</v>
      </c>
      <c r="I32" s="13"/>
      <c r="J32" s="12">
        <v>7.98901663E8</v>
      </c>
      <c r="K32" s="15">
        <f t="shared" ref="K32:K49" si="10">J32/D32</f>
        <v>0.9893519046</v>
      </c>
      <c r="L32" s="16">
        <f t="shared" ref="L32:L34" si="11">J32/O32*N32</f>
        <v>798901663</v>
      </c>
      <c r="M32" s="43">
        <f t="shared" ref="M32:M34" si="12">L32/D32</f>
        <v>0.9893519046</v>
      </c>
      <c r="N32" s="18">
        <v>21.0</v>
      </c>
      <c r="O32" s="19">
        <v>21.0</v>
      </c>
      <c r="P32" s="20" t="s">
        <v>66</v>
      </c>
    </row>
    <row r="33">
      <c r="A33" s="10">
        <v>6.0</v>
      </c>
      <c r="B33" s="11" t="s">
        <v>21</v>
      </c>
      <c r="C33" s="11" t="s">
        <v>19</v>
      </c>
      <c r="D33" s="19">
        <v>6.0E7</v>
      </c>
      <c r="E33" s="12">
        <v>8632436.0</v>
      </c>
      <c r="F33" s="12">
        <v>1.10439585E7</v>
      </c>
      <c r="G33" s="12">
        <v>1.410975063E7</v>
      </c>
      <c r="H33" s="13">
        <f>7111910.25+4080525.44</f>
        <v>11192435.69</v>
      </c>
      <c r="I33" s="12"/>
      <c r="J33" s="12">
        <v>5.1295715E7</v>
      </c>
      <c r="K33" s="15">
        <f t="shared" si="10"/>
        <v>0.8549285833</v>
      </c>
      <c r="L33" s="16">
        <f t="shared" si="11"/>
        <v>51295715</v>
      </c>
      <c r="M33" s="43">
        <f t="shared" si="12"/>
        <v>0.8549285833</v>
      </c>
      <c r="N33" s="18">
        <v>21.0</v>
      </c>
      <c r="O33" s="19">
        <v>21.0</v>
      </c>
      <c r="P33" s="20" t="s">
        <v>66</v>
      </c>
    </row>
    <row r="34">
      <c r="A34" s="10">
        <v>64.0</v>
      </c>
      <c r="B34" s="10" t="s">
        <v>22</v>
      </c>
      <c r="C34" s="11" t="s">
        <v>19</v>
      </c>
      <c r="D34" s="19">
        <v>3.5E8</v>
      </c>
      <c r="E34" s="12">
        <v>5.28935E7</v>
      </c>
      <c r="F34" s="12">
        <v>4.67205E7</v>
      </c>
      <c r="G34" s="12">
        <v>9.26485E7</v>
      </c>
      <c r="H34" s="12">
        <v>7.35965E7</v>
      </c>
      <c r="I34" s="12"/>
      <c r="J34" s="14">
        <f>SUM(E34:I34)</f>
        <v>265859000</v>
      </c>
      <c r="K34" s="15">
        <f t="shared" si="10"/>
        <v>0.7595971429</v>
      </c>
      <c r="L34" s="16">
        <f t="shared" si="11"/>
        <v>265859000</v>
      </c>
      <c r="M34" s="43">
        <f t="shared" si="12"/>
        <v>0.7595971429</v>
      </c>
      <c r="N34" s="18">
        <v>21.0</v>
      </c>
      <c r="O34" s="19">
        <v>21.0</v>
      </c>
      <c r="P34" s="20" t="s">
        <v>66</v>
      </c>
      <c r="Q34" s="20" t="s">
        <v>67</v>
      </c>
    </row>
    <row r="35">
      <c r="A35" s="10">
        <v>2.0</v>
      </c>
      <c r="B35" s="10" t="s">
        <v>24</v>
      </c>
      <c r="C35" s="10" t="s">
        <v>68</v>
      </c>
      <c r="D35" s="21">
        <v>1.0</v>
      </c>
      <c r="E35" s="21">
        <v>0.95</v>
      </c>
      <c r="F35" s="21">
        <v>1.59</v>
      </c>
      <c r="G35" s="21">
        <v>1.94</v>
      </c>
      <c r="H35" s="21">
        <v>2.99</v>
      </c>
      <c r="I35" s="13"/>
      <c r="J35" s="57">
        <f t="shared" ref="J35:J36" si="13">H35</f>
        <v>2.99</v>
      </c>
      <c r="K35" s="15">
        <f t="shared" si="10"/>
        <v>2.99</v>
      </c>
      <c r="L35" s="58">
        <f t="shared" ref="L35:L36" si="14">K35</f>
        <v>2.99</v>
      </c>
      <c r="M35" s="43">
        <f>K35</f>
        <v>2.99</v>
      </c>
      <c r="N35" s="18">
        <v>21.0</v>
      </c>
      <c r="O35" s="19">
        <v>21.0</v>
      </c>
      <c r="P35" s="20" t="s">
        <v>66</v>
      </c>
      <c r="Q35" s="20" t="s">
        <v>67</v>
      </c>
    </row>
    <row r="36">
      <c r="A36" s="10">
        <v>10.0</v>
      </c>
      <c r="B36" s="10" t="s">
        <v>25</v>
      </c>
      <c r="C36" s="11" t="s">
        <v>26</v>
      </c>
      <c r="D36" s="21">
        <v>0.8</v>
      </c>
      <c r="E36" s="23">
        <v>0.1177</v>
      </c>
      <c r="F36" s="23">
        <v>0.5265</v>
      </c>
      <c r="G36" s="21">
        <v>0.6287</v>
      </c>
      <c r="H36" s="24">
        <v>0.957</v>
      </c>
      <c r="I36" s="24"/>
      <c r="J36" s="57">
        <f t="shared" si="13"/>
        <v>0.957</v>
      </c>
      <c r="K36" s="15">
        <f t="shared" si="10"/>
        <v>1.19625</v>
      </c>
      <c r="L36" s="58">
        <f t="shared" si="14"/>
        <v>1.19625</v>
      </c>
      <c r="M36" s="28">
        <f t="shared" ref="M36:M49" si="15">L36/D36</f>
        <v>1.4953125</v>
      </c>
      <c r="N36" s="18">
        <v>21.0</v>
      </c>
      <c r="O36" s="19">
        <v>21.0</v>
      </c>
      <c r="P36" s="20" t="s">
        <v>66</v>
      </c>
      <c r="Q36" s="20" t="s">
        <v>67</v>
      </c>
    </row>
    <row r="37">
      <c r="A37" s="10">
        <v>26.0</v>
      </c>
      <c r="B37" s="10" t="s">
        <v>27</v>
      </c>
      <c r="C37" s="11" t="s">
        <v>19</v>
      </c>
      <c r="D37" s="19">
        <v>947.0</v>
      </c>
      <c r="E37" s="18">
        <v>119.0</v>
      </c>
      <c r="F37" s="18">
        <v>126.0</v>
      </c>
      <c r="G37" s="18">
        <v>152.0</v>
      </c>
      <c r="H37" s="18">
        <v>173.0</v>
      </c>
      <c r="I37" s="29"/>
      <c r="J37" s="45">
        <f t="shared" ref="J37:J39" si="16">sum(E37:I37)</f>
        <v>570</v>
      </c>
      <c r="K37" s="15">
        <f t="shared" si="10"/>
        <v>0.6019007392</v>
      </c>
      <c r="L37" s="16">
        <f t="shared" ref="L37:L48" si="17">J37/O37*N37</f>
        <v>570</v>
      </c>
      <c r="M37" s="43">
        <f t="shared" si="15"/>
        <v>0.6019007392</v>
      </c>
      <c r="N37" s="18">
        <v>21.0</v>
      </c>
      <c r="O37" s="60">
        <v>21.0</v>
      </c>
      <c r="P37" s="61" t="s">
        <v>70</v>
      </c>
    </row>
    <row r="38">
      <c r="A38" s="10">
        <v>15.0</v>
      </c>
      <c r="B38" s="10" t="s">
        <v>29</v>
      </c>
      <c r="C38" s="11" t="s">
        <v>19</v>
      </c>
      <c r="D38" s="12">
        <v>1.249E7</v>
      </c>
      <c r="E38" s="19">
        <v>1504000.0</v>
      </c>
      <c r="F38" s="12">
        <v>2543000.0</v>
      </c>
      <c r="G38" s="19">
        <v>2113000.0</v>
      </c>
      <c r="H38" s="19">
        <v>5741000.0</v>
      </c>
      <c r="I38" s="19"/>
      <c r="J38" s="30">
        <f t="shared" si="16"/>
        <v>11901000</v>
      </c>
      <c r="K38" s="15">
        <f t="shared" si="10"/>
        <v>0.9528422738</v>
      </c>
      <c r="L38" s="16">
        <f t="shared" si="17"/>
        <v>11901000</v>
      </c>
      <c r="M38" s="43">
        <f t="shared" si="15"/>
        <v>0.9528422738</v>
      </c>
      <c r="N38" s="62">
        <v>21.0</v>
      </c>
      <c r="O38" s="63">
        <v>21.0</v>
      </c>
      <c r="P38" s="61" t="s">
        <v>70</v>
      </c>
    </row>
    <row r="39">
      <c r="A39" s="10">
        <v>35.0</v>
      </c>
      <c r="B39" s="10" t="s">
        <v>31</v>
      </c>
      <c r="C39" s="11" t="s">
        <v>19</v>
      </c>
      <c r="D39" s="14">
        <f t="shared" ref="D39:I39" si="18">D14</f>
        <v>297003282</v>
      </c>
      <c r="E39" s="14">
        <f t="shared" si="18"/>
        <v>55545187</v>
      </c>
      <c r="F39" s="14">
        <f t="shared" si="18"/>
        <v>64631498</v>
      </c>
      <c r="G39" s="14">
        <f t="shared" si="18"/>
        <v>41319829</v>
      </c>
      <c r="H39" s="14">
        <f t="shared" si="18"/>
        <v>47793341</v>
      </c>
      <c r="I39" s="14" t="str">
        <f t="shared" si="18"/>
        <v/>
      </c>
      <c r="J39" s="14">
        <f t="shared" si="16"/>
        <v>209289855</v>
      </c>
      <c r="K39" s="15">
        <f t="shared" si="10"/>
        <v>0.7046718595</v>
      </c>
      <c r="L39" s="16">
        <f t="shared" si="17"/>
        <v>209289855</v>
      </c>
      <c r="M39" s="43">
        <f t="shared" si="15"/>
        <v>0.7046718595</v>
      </c>
      <c r="N39" s="70">
        <f t="shared" ref="N39:P39" si="19">N14</f>
        <v>21</v>
      </c>
      <c r="O39" s="66">
        <f t="shared" si="19"/>
        <v>21</v>
      </c>
      <c r="P39" s="71" t="str">
        <f t="shared" si="19"/>
        <v>as of March 31, 2025</v>
      </c>
    </row>
    <row r="40">
      <c r="A40" s="10">
        <v>4.0</v>
      </c>
      <c r="B40" s="11" t="s">
        <v>32</v>
      </c>
      <c r="C40" s="10" t="s">
        <v>76</v>
      </c>
      <c r="D40" s="19">
        <f>6*102*20</f>
        <v>12240</v>
      </c>
      <c r="E40" s="18">
        <v>2232.0</v>
      </c>
      <c r="F40" s="18">
        <v>2249.0</v>
      </c>
      <c r="G40" s="18">
        <v>2112.0</v>
      </c>
      <c r="H40" s="18">
        <f>2287+859+584+419+1393</f>
        <v>5542</v>
      </c>
      <c r="I40" s="33"/>
      <c r="J40" s="45">
        <f t="shared" ref="J40:J48" si="20">SUM(E40:I40)</f>
        <v>12135</v>
      </c>
      <c r="K40" s="15">
        <f t="shared" si="10"/>
        <v>0.9914215686</v>
      </c>
      <c r="L40" s="16">
        <f t="shared" si="17"/>
        <v>12135</v>
      </c>
      <c r="M40" s="43">
        <f t="shared" si="15"/>
        <v>0.9914215686</v>
      </c>
      <c r="N40" s="62">
        <v>21.0</v>
      </c>
      <c r="O40" s="63">
        <v>21.0</v>
      </c>
      <c r="P40" s="71" t="str">
        <f>P15</f>
        <v>As of March 31 2025</v>
      </c>
    </row>
    <row r="41">
      <c r="A41" s="10">
        <v>6.0</v>
      </c>
      <c r="B41" s="10" t="s">
        <v>72</v>
      </c>
      <c r="C41" s="10" t="s">
        <v>76</v>
      </c>
      <c r="D41" s="19">
        <v>2396.0</v>
      </c>
      <c r="E41" s="18">
        <v>671.0</v>
      </c>
      <c r="F41" s="18">
        <v>612.0</v>
      </c>
      <c r="G41" s="18">
        <v>615.0</v>
      </c>
      <c r="H41" s="18">
        <f>120+191+128+47+255</f>
        <v>741</v>
      </c>
      <c r="I41" s="33"/>
      <c r="J41" s="45">
        <f t="shared" si="20"/>
        <v>2639</v>
      </c>
      <c r="K41" s="15">
        <f t="shared" si="10"/>
        <v>1.101419032</v>
      </c>
      <c r="L41" s="16">
        <f t="shared" si="17"/>
        <v>2639</v>
      </c>
      <c r="M41" s="43">
        <f t="shared" si="15"/>
        <v>1.101419032</v>
      </c>
      <c r="N41" s="62">
        <v>21.0</v>
      </c>
      <c r="O41" s="63">
        <v>21.0</v>
      </c>
      <c r="P41" s="72" t="str">
        <f>P40</f>
        <v>As of March 31 2025</v>
      </c>
    </row>
    <row r="42">
      <c r="A42" s="10">
        <v>32.0</v>
      </c>
      <c r="B42" s="11" t="s">
        <v>35</v>
      </c>
      <c r="C42" s="11" t="s">
        <v>19</v>
      </c>
      <c r="D42" s="19">
        <f t="shared" ref="D42:I42" si="21">D17</f>
        <v>356720000</v>
      </c>
      <c r="E42" s="19">
        <f t="shared" si="21"/>
        <v>136523000</v>
      </c>
      <c r="F42" s="19">
        <f t="shared" si="21"/>
        <v>153350900</v>
      </c>
      <c r="G42" s="19">
        <f t="shared" si="21"/>
        <v>171187500</v>
      </c>
      <c r="H42" s="19">
        <f t="shared" si="21"/>
        <v>130967520</v>
      </c>
      <c r="I42" s="46">
        <f t="shared" si="21"/>
        <v>34432000</v>
      </c>
      <c r="J42" s="30">
        <f t="shared" si="20"/>
        <v>626460920</v>
      </c>
      <c r="K42" s="15">
        <f t="shared" si="10"/>
        <v>1.756169881</v>
      </c>
      <c r="L42" s="16">
        <f t="shared" si="17"/>
        <v>626460920</v>
      </c>
      <c r="M42" s="43">
        <f t="shared" si="15"/>
        <v>1.756169881</v>
      </c>
      <c r="N42" s="18">
        <v>21.0</v>
      </c>
      <c r="O42" s="18">
        <v>21.0</v>
      </c>
      <c r="P42" s="20" t="s">
        <v>70</v>
      </c>
    </row>
    <row r="43">
      <c r="A43" s="10">
        <v>11.0</v>
      </c>
      <c r="B43" s="11" t="s">
        <v>37</v>
      </c>
      <c r="C43" s="11" t="s">
        <v>19</v>
      </c>
      <c r="D43" s="19">
        <f t="shared" ref="D43:I43" si="22">D18</f>
        <v>1800</v>
      </c>
      <c r="E43" s="19">
        <f t="shared" si="22"/>
        <v>208</v>
      </c>
      <c r="F43" s="19">
        <f t="shared" si="22"/>
        <v>219</v>
      </c>
      <c r="G43" s="19">
        <f t="shared" si="22"/>
        <v>218</v>
      </c>
      <c r="H43" s="19">
        <f t="shared" si="22"/>
        <v>192</v>
      </c>
      <c r="I43" s="46">
        <f t="shared" si="22"/>
        <v>19</v>
      </c>
      <c r="J43" s="30">
        <f t="shared" si="20"/>
        <v>856</v>
      </c>
      <c r="K43" s="15">
        <f t="shared" si="10"/>
        <v>0.4755555556</v>
      </c>
      <c r="L43" s="16">
        <f t="shared" si="17"/>
        <v>856</v>
      </c>
      <c r="M43" s="43">
        <f t="shared" si="15"/>
        <v>0.4755555556</v>
      </c>
      <c r="N43" s="18">
        <v>21.0</v>
      </c>
      <c r="O43" s="18">
        <v>21.0</v>
      </c>
      <c r="P43" s="20" t="s">
        <v>70</v>
      </c>
    </row>
    <row r="44">
      <c r="A44" s="10">
        <v>1.0</v>
      </c>
      <c r="B44" s="11" t="s">
        <v>38</v>
      </c>
      <c r="C44" s="11" t="s">
        <v>19</v>
      </c>
      <c r="D44" s="19">
        <f t="shared" ref="D44:I44" si="23">D19</f>
        <v>550</v>
      </c>
      <c r="E44" s="19">
        <f t="shared" si="23"/>
        <v>123</v>
      </c>
      <c r="F44" s="19">
        <f t="shared" si="23"/>
        <v>109</v>
      </c>
      <c r="G44" s="19">
        <f t="shared" si="23"/>
        <v>136</v>
      </c>
      <c r="H44" s="19">
        <f t="shared" si="23"/>
        <v>106</v>
      </c>
      <c r="I44" s="46">
        <f t="shared" si="23"/>
        <v>15</v>
      </c>
      <c r="J44" s="30">
        <f t="shared" si="20"/>
        <v>489</v>
      </c>
      <c r="K44" s="15">
        <f t="shared" si="10"/>
        <v>0.8890909091</v>
      </c>
      <c r="L44" s="16">
        <f t="shared" si="17"/>
        <v>489</v>
      </c>
      <c r="M44" s="43">
        <f t="shared" si="15"/>
        <v>0.8890909091</v>
      </c>
      <c r="N44" s="18">
        <v>21.0</v>
      </c>
      <c r="O44" s="18">
        <v>21.0</v>
      </c>
      <c r="P44" s="20" t="s">
        <v>70</v>
      </c>
    </row>
    <row r="45">
      <c r="A45" s="10">
        <v>2.0</v>
      </c>
      <c r="B45" s="10" t="s">
        <v>39</v>
      </c>
      <c r="C45" s="11" t="s">
        <v>19</v>
      </c>
      <c r="D45" s="19">
        <f t="shared" ref="D45:I45" si="24">D20</f>
        <v>960</v>
      </c>
      <c r="E45" s="19">
        <f t="shared" si="24"/>
        <v>142</v>
      </c>
      <c r="F45" s="19">
        <f t="shared" si="24"/>
        <v>258</v>
      </c>
      <c r="G45" s="19">
        <f t="shared" si="24"/>
        <v>280</v>
      </c>
      <c r="H45" s="19">
        <f t="shared" si="24"/>
        <v>289</v>
      </c>
      <c r="I45" s="46">
        <f t="shared" si="24"/>
        <v>91</v>
      </c>
      <c r="J45" s="30">
        <f t="shared" si="20"/>
        <v>1060</v>
      </c>
      <c r="K45" s="15">
        <f t="shared" si="10"/>
        <v>1.104166667</v>
      </c>
      <c r="L45" s="16">
        <f t="shared" si="17"/>
        <v>1060</v>
      </c>
      <c r="M45" s="43">
        <f t="shared" si="15"/>
        <v>1.104166667</v>
      </c>
      <c r="N45" s="18">
        <v>21.0</v>
      </c>
      <c r="O45" s="18">
        <v>21.0</v>
      </c>
      <c r="P45" s="20" t="s">
        <v>70</v>
      </c>
    </row>
    <row r="46">
      <c r="A46" s="10">
        <v>15.0</v>
      </c>
      <c r="B46" s="10" t="s">
        <v>77</v>
      </c>
      <c r="C46" s="11" t="s">
        <v>19</v>
      </c>
      <c r="D46" s="12">
        <v>400.0</v>
      </c>
      <c r="E46" s="19">
        <v>89.0</v>
      </c>
      <c r="F46" s="29">
        <v>124.0</v>
      </c>
      <c r="G46" s="29">
        <v>100.0</v>
      </c>
      <c r="H46" s="29">
        <v>69.0</v>
      </c>
      <c r="I46" s="29">
        <v>13.0</v>
      </c>
      <c r="J46" s="30">
        <f t="shared" si="20"/>
        <v>395</v>
      </c>
      <c r="K46" s="15">
        <f t="shared" si="10"/>
        <v>0.9875</v>
      </c>
      <c r="L46" s="16">
        <f t="shared" si="17"/>
        <v>376.1904762</v>
      </c>
      <c r="M46" s="43">
        <f t="shared" si="15"/>
        <v>0.9404761905</v>
      </c>
      <c r="N46" s="18">
        <v>20.0</v>
      </c>
      <c r="O46" s="18">
        <f t="shared" ref="O46:P46" si="25">O21</f>
        <v>21</v>
      </c>
      <c r="P46" s="68" t="str">
        <f t="shared" si="25"/>
        <v>as of March 31, 2025</v>
      </c>
    </row>
    <row r="47">
      <c r="A47" s="10">
        <v>21.0</v>
      </c>
      <c r="B47" s="10" t="s">
        <v>73</v>
      </c>
      <c r="C47" s="11" t="s">
        <v>19</v>
      </c>
      <c r="D47" s="12">
        <v>1323.0</v>
      </c>
      <c r="E47" s="19">
        <v>146.0</v>
      </c>
      <c r="F47" s="29">
        <v>148.0</v>
      </c>
      <c r="G47" s="29">
        <v>217.0</v>
      </c>
      <c r="H47" s="32">
        <v>277.0</v>
      </c>
      <c r="I47" s="29">
        <v>391.0</v>
      </c>
      <c r="J47" s="30">
        <f t="shared" si="20"/>
        <v>1179</v>
      </c>
      <c r="K47" s="15">
        <f t="shared" si="10"/>
        <v>0.8911564626</v>
      </c>
      <c r="L47" s="16">
        <f t="shared" si="17"/>
        <v>1179</v>
      </c>
      <c r="M47" s="43">
        <f t="shared" si="15"/>
        <v>0.8911564626</v>
      </c>
      <c r="N47" s="18">
        <v>30.0</v>
      </c>
      <c r="O47" s="18">
        <v>30.0</v>
      </c>
      <c r="P47" s="20" t="s">
        <v>70</v>
      </c>
    </row>
    <row r="48">
      <c r="A48" s="10">
        <v>1.0</v>
      </c>
      <c r="B48" s="10" t="s">
        <v>43</v>
      </c>
      <c r="C48" s="11" t="s">
        <v>19</v>
      </c>
      <c r="D48" s="12">
        <v>30.0</v>
      </c>
      <c r="E48" s="12">
        <v>7.0</v>
      </c>
      <c r="F48" s="12">
        <v>8.0</v>
      </c>
      <c r="G48" s="12">
        <v>9.0</v>
      </c>
      <c r="H48" s="12">
        <v>5.0</v>
      </c>
      <c r="I48" s="12">
        <v>2.0</v>
      </c>
      <c r="J48" s="14">
        <f t="shared" si="20"/>
        <v>31</v>
      </c>
      <c r="K48" s="15">
        <f t="shared" si="10"/>
        <v>1.033333333</v>
      </c>
      <c r="L48" s="16">
        <f t="shared" si="17"/>
        <v>31</v>
      </c>
      <c r="M48" s="43">
        <f t="shared" si="15"/>
        <v>1.033333333</v>
      </c>
      <c r="N48" s="18">
        <v>20.0</v>
      </c>
      <c r="O48" s="18">
        <f t="shared" ref="O48:P48" si="26">O23</f>
        <v>20</v>
      </c>
      <c r="P48" s="68" t="str">
        <f t="shared" si="26"/>
        <v>as of March 31, 2025</v>
      </c>
    </row>
    <row r="49">
      <c r="A49" s="10">
        <v>45.0</v>
      </c>
      <c r="B49" s="10" t="s">
        <v>44</v>
      </c>
      <c r="C49" s="11" t="s">
        <v>19</v>
      </c>
      <c r="D49" s="21">
        <v>0.85</v>
      </c>
      <c r="E49" s="21">
        <v>0.87</v>
      </c>
      <c r="F49" s="24">
        <v>0.91</v>
      </c>
      <c r="G49" s="24">
        <v>0.93</v>
      </c>
      <c r="H49" s="24">
        <v>0.95</v>
      </c>
      <c r="I49" s="24">
        <v>0.94</v>
      </c>
      <c r="J49" s="57">
        <f>average(E49:I49)</f>
        <v>0.92</v>
      </c>
      <c r="K49" s="15">
        <f t="shared" si="10"/>
        <v>1.082352941</v>
      </c>
      <c r="L49" s="73">
        <f>J49</f>
        <v>0.92</v>
      </c>
      <c r="M49" s="43">
        <f t="shared" si="15"/>
        <v>1.082352941</v>
      </c>
      <c r="N49" s="18">
        <v>31.0</v>
      </c>
      <c r="O49" s="18">
        <f t="shared" ref="O49:P49" si="27">O24</f>
        <v>31</v>
      </c>
      <c r="P49" s="68" t="str">
        <f t="shared" si="27"/>
        <v>as of March 31, 2025</v>
      </c>
    </row>
    <row r="50">
      <c r="A50" s="47"/>
      <c r="B50" s="48"/>
      <c r="C50" s="47"/>
      <c r="D50" s="49"/>
      <c r="E50" s="49"/>
      <c r="F50" s="50"/>
      <c r="G50" s="38"/>
      <c r="H50" s="36"/>
      <c r="I50" s="50"/>
      <c r="J50" s="50"/>
      <c r="K50" s="51"/>
      <c r="L50" s="52"/>
      <c r="M50" s="53"/>
      <c r="N50" s="54"/>
      <c r="O50" s="54"/>
    </row>
    <row r="51">
      <c r="A51" s="35"/>
      <c r="B51" s="35"/>
      <c r="C51" s="35"/>
      <c r="D51" s="38"/>
      <c r="E51" s="38"/>
      <c r="F51" s="38"/>
      <c r="G51" s="38"/>
      <c r="H51" s="38"/>
      <c r="I51" s="38"/>
      <c r="J51" s="38"/>
      <c r="K51" s="38"/>
      <c r="L51" s="38"/>
      <c r="M51" s="74"/>
      <c r="N51" s="38"/>
      <c r="O51" s="38"/>
    </row>
    <row r="52">
      <c r="A52" s="35"/>
      <c r="B52" s="35"/>
      <c r="C52" s="35"/>
      <c r="D52" s="38"/>
      <c r="E52" s="38"/>
      <c r="F52" s="36"/>
      <c r="G52" s="38"/>
      <c r="H52" s="38"/>
      <c r="I52" s="38"/>
      <c r="J52" s="55"/>
      <c r="K52" s="56"/>
      <c r="L52" s="38"/>
      <c r="M52" s="38"/>
      <c r="N52" s="38"/>
      <c r="O52" s="38"/>
    </row>
    <row r="53">
      <c r="A53" s="35"/>
      <c r="B53" s="35"/>
      <c r="C53" s="35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</row>
    <row r="54">
      <c r="A54" s="35"/>
      <c r="C54" s="35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</row>
    <row r="55">
      <c r="A55" s="35"/>
      <c r="B55" s="35"/>
      <c r="C55" s="35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</row>
    <row r="56">
      <c r="A56" s="35"/>
      <c r="B56" s="35"/>
      <c r="C56" s="35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</row>
    <row r="57">
      <c r="A57" s="35"/>
      <c r="B57" s="35"/>
      <c r="C57" s="35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</row>
    <row r="58">
      <c r="A58" s="35"/>
      <c r="B58" s="35"/>
      <c r="C58" s="35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</row>
    <row r="59">
      <c r="A59" s="35"/>
      <c r="B59" s="35"/>
      <c r="C59" s="35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</row>
    <row r="60">
      <c r="A60" s="35"/>
      <c r="B60" s="35"/>
      <c r="C60" s="35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</row>
    <row r="61">
      <c r="A61" s="35"/>
      <c r="B61" s="35"/>
      <c r="C61" s="35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</row>
    <row r="62">
      <c r="A62" s="35"/>
      <c r="B62" s="35"/>
      <c r="C62" s="35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</row>
    <row r="63">
      <c r="A63" s="35"/>
      <c r="B63" s="35"/>
      <c r="C63" s="35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</row>
    <row r="64">
      <c r="A64" s="35"/>
      <c r="B64" s="35"/>
      <c r="C64" s="35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</row>
    <row r="65">
      <c r="A65" s="35"/>
      <c r="B65" s="35"/>
      <c r="C65" s="35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</row>
    <row r="66">
      <c r="A66" s="35"/>
      <c r="B66" s="35"/>
      <c r="C66" s="35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</row>
    <row r="67">
      <c r="A67" s="35"/>
      <c r="B67" s="35"/>
      <c r="C67" s="35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</row>
    <row r="68">
      <c r="A68" s="35"/>
      <c r="B68" s="35"/>
      <c r="C68" s="35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</row>
    <row r="69">
      <c r="A69" s="35"/>
      <c r="B69" s="35"/>
      <c r="C69" s="35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</row>
    <row r="70">
      <c r="A70" s="35"/>
      <c r="B70" s="35"/>
      <c r="C70" s="35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</row>
    <row r="71">
      <c r="A71" s="35"/>
      <c r="B71" s="35"/>
      <c r="C71" s="35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</row>
    <row r="72">
      <c r="A72" s="35"/>
      <c r="B72" s="35"/>
      <c r="C72" s="35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</row>
    <row r="73">
      <c r="A73" s="35"/>
      <c r="B73" s="35"/>
      <c r="C73" s="35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</row>
    <row r="74">
      <c r="A74" s="35"/>
      <c r="B74" s="35"/>
      <c r="C74" s="35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</row>
    <row r="75">
      <c r="A75" s="35"/>
      <c r="B75" s="35"/>
      <c r="C75" s="35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</row>
    <row r="76">
      <c r="A76" s="35"/>
      <c r="B76" s="35"/>
      <c r="C76" s="35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</row>
    <row r="77">
      <c r="A77" s="35"/>
      <c r="B77" s="35"/>
      <c r="C77" s="35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</row>
    <row r="78">
      <c r="A78" s="35"/>
      <c r="B78" s="35"/>
      <c r="C78" s="35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</row>
    <row r="79">
      <c r="A79" s="35"/>
      <c r="B79" s="35"/>
      <c r="C79" s="35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</row>
    <row r="80">
      <c r="A80" s="35"/>
      <c r="B80" s="35"/>
      <c r="C80" s="35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</row>
    <row r="81">
      <c r="A81" s="35"/>
      <c r="B81" s="35"/>
      <c r="C81" s="35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</row>
    <row r="82">
      <c r="A82" s="35"/>
      <c r="B82" s="35"/>
      <c r="C82" s="35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</row>
    <row r="83">
      <c r="A83" s="35"/>
      <c r="B83" s="35"/>
      <c r="C83" s="35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</row>
    <row r="84">
      <c r="A84" s="35"/>
      <c r="B84" s="35"/>
      <c r="C84" s="35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</row>
    <row r="85">
      <c r="A85" s="35"/>
      <c r="B85" s="35"/>
      <c r="C85" s="35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</row>
    <row r="86">
      <c r="A86" s="35"/>
      <c r="B86" s="35"/>
      <c r="C86" s="35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</row>
    <row r="87">
      <c r="A87" s="35"/>
      <c r="B87" s="35"/>
      <c r="C87" s="35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</row>
    <row r="88">
      <c r="A88" s="35"/>
      <c r="B88" s="35"/>
      <c r="C88" s="35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</row>
    <row r="89">
      <c r="A89" s="35"/>
      <c r="B89" s="35"/>
      <c r="C89" s="35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</row>
    <row r="90">
      <c r="A90" s="35"/>
      <c r="B90" s="35"/>
      <c r="C90" s="35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</row>
    <row r="91">
      <c r="A91" s="35"/>
      <c r="B91" s="35"/>
      <c r="C91" s="35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</row>
    <row r="92">
      <c r="A92" s="35"/>
      <c r="B92" s="35"/>
      <c r="C92" s="35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</row>
    <row r="93">
      <c r="A93" s="35"/>
      <c r="B93" s="35"/>
      <c r="C93" s="35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</row>
    <row r="94">
      <c r="A94" s="35"/>
      <c r="B94" s="35"/>
      <c r="C94" s="35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</row>
    <row r="95">
      <c r="A95" s="35"/>
      <c r="B95" s="35"/>
      <c r="C95" s="35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</row>
    <row r="96">
      <c r="A96" s="35"/>
      <c r="B96" s="35"/>
      <c r="C96" s="35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</row>
    <row r="97">
      <c r="A97" s="35"/>
      <c r="B97" s="35"/>
      <c r="C97" s="35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</row>
    <row r="98">
      <c r="A98" s="35"/>
      <c r="B98" s="35"/>
      <c r="C98" s="35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</row>
    <row r="99">
      <c r="A99" s="35"/>
      <c r="B99" s="35"/>
      <c r="C99" s="35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</row>
    <row r="100">
      <c r="A100" s="35"/>
      <c r="B100" s="35"/>
      <c r="C100" s="35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</row>
    <row r="101">
      <c r="A101" s="35"/>
      <c r="B101" s="35"/>
      <c r="C101" s="35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</row>
    <row r="102">
      <c r="A102" s="35"/>
      <c r="B102" s="35"/>
      <c r="C102" s="35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</row>
    <row r="103">
      <c r="A103" s="35"/>
      <c r="B103" s="35"/>
      <c r="C103" s="35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</row>
    <row r="104">
      <c r="A104" s="35"/>
      <c r="B104" s="35"/>
      <c r="C104" s="35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</row>
    <row r="105">
      <c r="A105" s="35"/>
      <c r="B105" s="35"/>
      <c r="C105" s="35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</row>
    <row r="106">
      <c r="A106" s="35"/>
      <c r="B106" s="35"/>
      <c r="C106" s="35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</row>
    <row r="107">
      <c r="A107" s="35"/>
      <c r="B107" s="35"/>
      <c r="C107" s="35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</row>
    <row r="108">
      <c r="A108" s="35"/>
      <c r="B108" s="35"/>
      <c r="C108" s="35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</row>
    <row r="109">
      <c r="A109" s="35"/>
      <c r="B109" s="35"/>
      <c r="C109" s="35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</row>
    <row r="110">
      <c r="A110" s="35"/>
      <c r="B110" s="35"/>
      <c r="C110" s="35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</row>
    <row r="111">
      <c r="A111" s="35"/>
      <c r="B111" s="35"/>
      <c r="C111" s="35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</row>
    <row r="112">
      <c r="A112" s="35"/>
      <c r="B112" s="35"/>
      <c r="C112" s="35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</row>
    <row r="113">
      <c r="A113" s="35"/>
      <c r="B113" s="35"/>
      <c r="C113" s="35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</row>
    <row r="114">
      <c r="A114" s="35"/>
      <c r="B114" s="35"/>
      <c r="C114" s="35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</row>
    <row r="115">
      <c r="A115" s="35"/>
      <c r="B115" s="35"/>
      <c r="C115" s="35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</row>
    <row r="116">
      <c r="A116" s="35"/>
      <c r="B116" s="35"/>
      <c r="C116" s="35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</row>
    <row r="117">
      <c r="A117" s="35"/>
      <c r="B117" s="35"/>
      <c r="C117" s="35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</row>
    <row r="118">
      <c r="A118" s="35"/>
      <c r="B118" s="35"/>
      <c r="C118" s="35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</row>
    <row r="119">
      <c r="A119" s="35"/>
      <c r="B119" s="35"/>
      <c r="C119" s="35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</row>
    <row r="120">
      <c r="A120" s="35"/>
      <c r="B120" s="35"/>
      <c r="C120" s="35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</row>
    <row r="121">
      <c r="A121" s="35"/>
      <c r="B121" s="35"/>
      <c r="C121" s="35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</row>
    <row r="122">
      <c r="A122" s="35"/>
      <c r="B122" s="35"/>
      <c r="C122" s="35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</row>
    <row r="123">
      <c r="A123" s="35"/>
      <c r="B123" s="35"/>
      <c r="C123" s="35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</row>
    <row r="124">
      <c r="A124" s="35"/>
      <c r="B124" s="35"/>
      <c r="C124" s="35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</row>
    <row r="125">
      <c r="A125" s="35"/>
      <c r="B125" s="35"/>
      <c r="C125" s="35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</row>
    <row r="126">
      <c r="A126" s="35"/>
      <c r="B126" s="35"/>
      <c r="C126" s="35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</row>
    <row r="127">
      <c r="A127" s="35"/>
      <c r="B127" s="35"/>
      <c r="C127" s="35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</row>
    <row r="128">
      <c r="A128" s="35"/>
      <c r="B128" s="35"/>
      <c r="C128" s="35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</row>
    <row r="129">
      <c r="A129" s="35"/>
      <c r="B129" s="35"/>
      <c r="C129" s="35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</row>
    <row r="130">
      <c r="A130" s="35"/>
      <c r="B130" s="35"/>
      <c r="C130" s="35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</row>
    <row r="131">
      <c r="A131" s="35"/>
      <c r="B131" s="35"/>
      <c r="C131" s="35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</row>
    <row r="132">
      <c r="A132" s="35"/>
      <c r="B132" s="35"/>
      <c r="C132" s="35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</row>
    <row r="133">
      <c r="A133" s="35"/>
      <c r="B133" s="35"/>
      <c r="C133" s="35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</row>
    <row r="134">
      <c r="A134" s="35"/>
      <c r="B134" s="35"/>
      <c r="C134" s="35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</row>
    <row r="135">
      <c r="A135" s="35"/>
      <c r="B135" s="35"/>
      <c r="C135" s="35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</row>
    <row r="136">
      <c r="A136" s="35"/>
      <c r="B136" s="35"/>
      <c r="C136" s="35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</row>
    <row r="137">
      <c r="A137" s="35"/>
      <c r="B137" s="35"/>
      <c r="C137" s="35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</row>
    <row r="138">
      <c r="A138" s="35"/>
      <c r="B138" s="35"/>
      <c r="C138" s="35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</row>
    <row r="139">
      <c r="A139" s="35"/>
      <c r="B139" s="35"/>
      <c r="C139" s="35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</row>
    <row r="140">
      <c r="A140" s="35"/>
      <c r="B140" s="35"/>
      <c r="C140" s="35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</row>
    <row r="141">
      <c r="A141" s="35"/>
      <c r="B141" s="35"/>
      <c r="C141" s="35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</row>
    <row r="142">
      <c r="A142" s="35"/>
      <c r="B142" s="35"/>
      <c r="C142" s="35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</row>
    <row r="143">
      <c r="A143" s="35"/>
      <c r="B143" s="35"/>
      <c r="C143" s="35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</row>
    <row r="144">
      <c r="A144" s="35"/>
      <c r="B144" s="35"/>
      <c r="C144" s="35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</row>
    <row r="145">
      <c r="A145" s="35"/>
      <c r="B145" s="35"/>
      <c r="C145" s="35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</row>
    <row r="146">
      <c r="A146" s="35"/>
      <c r="B146" s="35"/>
      <c r="C146" s="35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</row>
    <row r="147">
      <c r="A147" s="35"/>
      <c r="B147" s="35"/>
      <c r="C147" s="35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</row>
    <row r="148">
      <c r="A148" s="35"/>
      <c r="B148" s="35"/>
      <c r="C148" s="35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</row>
    <row r="149">
      <c r="A149" s="35"/>
      <c r="B149" s="35"/>
      <c r="C149" s="35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</row>
    <row r="150">
      <c r="A150" s="35"/>
      <c r="B150" s="35"/>
      <c r="C150" s="35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</row>
    <row r="151">
      <c r="A151" s="35"/>
      <c r="B151" s="35"/>
      <c r="C151" s="35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</row>
    <row r="152">
      <c r="A152" s="35"/>
      <c r="B152" s="35"/>
      <c r="C152" s="35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</row>
    <row r="153">
      <c r="A153" s="35"/>
      <c r="B153" s="35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</row>
    <row r="154">
      <c r="A154" s="35"/>
      <c r="B154" s="35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</row>
    <row r="155">
      <c r="A155" s="35"/>
      <c r="B155" s="35"/>
      <c r="C155" s="35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</row>
    <row r="156">
      <c r="A156" s="35"/>
      <c r="B156" s="35"/>
      <c r="C156" s="35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</row>
    <row r="157">
      <c r="A157" s="35"/>
      <c r="B157" s="35"/>
      <c r="C157" s="35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</row>
    <row r="158">
      <c r="A158" s="35"/>
      <c r="B158" s="35"/>
      <c r="C158" s="35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</row>
    <row r="159">
      <c r="A159" s="35"/>
      <c r="B159" s="35"/>
      <c r="C159" s="35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</row>
    <row r="160">
      <c r="A160" s="35"/>
      <c r="B160" s="35"/>
      <c r="C160" s="35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</row>
    <row r="161">
      <c r="A161" s="35"/>
      <c r="B161" s="35"/>
      <c r="C161" s="35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</row>
    <row r="162">
      <c r="A162" s="35"/>
      <c r="B162" s="35"/>
      <c r="C162" s="35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</row>
    <row r="163">
      <c r="A163" s="35"/>
      <c r="B163" s="35"/>
      <c r="C163" s="35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</row>
    <row r="164">
      <c r="A164" s="35"/>
      <c r="B164" s="35"/>
      <c r="C164" s="35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</row>
    <row r="165">
      <c r="A165" s="35"/>
      <c r="B165" s="35"/>
      <c r="C165" s="35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</row>
    <row r="166">
      <c r="A166" s="35"/>
      <c r="B166" s="35"/>
      <c r="C166" s="35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</row>
    <row r="167">
      <c r="A167" s="35"/>
      <c r="B167" s="35"/>
      <c r="C167" s="35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</row>
    <row r="168">
      <c r="A168" s="35"/>
      <c r="B168" s="35"/>
      <c r="C168" s="35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</row>
    <row r="169">
      <c r="A169" s="35"/>
      <c r="B169" s="35"/>
      <c r="C169" s="35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</row>
    <row r="170">
      <c r="A170" s="35"/>
      <c r="B170" s="35"/>
      <c r="C170" s="35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</row>
    <row r="171">
      <c r="A171" s="35"/>
      <c r="B171" s="35"/>
      <c r="C171" s="35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</row>
    <row r="172">
      <c r="A172" s="35"/>
      <c r="B172" s="35"/>
      <c r="C172" s="35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</row>
    <row r="173">
      <c r="A173" s="35"/>
      <c r="B173" s="35"/>
      <c r="C173" s="35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</row>
    <row r="174">
      <c r="A174" s="35"/>
      <c r="B174" s="35"/>
      <c r="C174" s="35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</row>
    <row r="175">
      <c r="A175" s="35"/>
      <c r="B175" s="35"/>
      <c r="C175" s="35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</row>
    <row r="176">
      <c r="A176" s="35"/>
      <c r="B176" s="35"/>
      <c r="C176" s="35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</row>
    <row r="177">
      <c r="A177" s="35"/>
      <c r="B177" s="35"/>
      <c r="C177" s="35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</row>
    <row r="178">
      <c r="A178" s="35"/>
      <c r="B178" s="35"/>
      <c r="C178" s="35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</row>
    <row r="179">
      <c r="A179" s="35"/>
      <c r="B179" s="35"/>
      <c r="C179" s="35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</row>
    <row r="180">
      <c r="A180" s="35"/>
      <c r="B180" s="35"/>
      <c r="C180" s="35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</row>
    <row r="181">
      <c r="A181" s="35"/>
      <c r="B181" s="35"/>
      <c r="C181" s="35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</row>
    <row r="182">
      <c r="A182" s="35"/>
      <c r="B182" s="35"/>
      <c r="C182" s="35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</row>
    <row r="183">
      <c r="A183" s="35"/>
      <c r="B183" s="35"/>
      <c r="C183" s="35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</row>
    <row r="184">
      <c r="A184" s="35"/>
      <c r="B184" s="35"/>
      <c r="C184" s="35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</row>
    <row r="185">
      <c r="A185" s="35"/>
      <c r="B185" s="35"/>
      <c r="C185" s="35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</row>
    <row r="186">
      <c r="A186" s="35"/>
      <c r="B186" s="35"/>
      <c r="C186" s="35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</row>
    <row r="187">
      <c r="A187" s="35"/>
      <c r="B187" s="35"/>
      <c r="C187" s="35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</row>
    <row r="188">
      <c r="A188" s="35"/>
      <c r="B188" s="35"/>
      <c r="C188" s="35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</row>
    <row r="189">
      <c r="A189" s="35"/>
      <c r="B189" s="35"/>
      <c r="C189" s="35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</row>
    <row r="190">
      <c r="A190" s="35"/>
      <c r="B190" s="35"/>
      <c r="C190" s="35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</row>
    <row r="191">
      <c r="A191" s="35"/>
      <c r="B191" s="35"/>
      <c r="C191" s="35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</row>
    <row r="192">
      <c r="A192" s="35"/>
      <c r="B192" s="35"/>
      <c r="C192" s="35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</row>
    <row r="193">
      <c r="A193" s="35"/>
      <c r="B193" s="35"/>
      <c r="C193" s="35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</row>
    <row r="194">
      <c r="A194" s="35"/>
      <c r="B194" s="35"/>
      <c r="C194" s="35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</row>
    <row r="195">
      <c r="A195" s="35"/>
      <c r="B195" s="35"/>
      <c r="C195" s="35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</row>
    <row r="196">
      <c r="A196" s="35"/>
      <c r="B196" s="35"/>
      <c r="C196" s="35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</row>
    <row r="197">
      <c r="A197" s="35"/>
      <c r="B197" s="35"/>
      <c r="C197" s="35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</row>
    <row r="198">
      <c r="A198" s="35"/>
      <c r="B198" s="35"/>
      <c r="C198" s="35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</row>
    <row r="199">
      <c r="A199" s="35"/>
      <c r="B199" s="35"/>
      <c r="C199" s="35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</row>
    <row r="200">
      <c r="A200" s="35"/>
      <c r="B200" s="35"/>
      <c r="C200" s="35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</row>
    <row r="201">
      <c r="A201" s="35"/>
      <c r="B201" s="35"/>
      <c r="C201" s="35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</row>
    <row r="202">
      <c r="A202" s="35"/>
      <c r="B202" s="35"/>
      <c r="C202" s="35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</row>
    <row r="203">
      <c r="A203" s="35"/>
      <c r="B203" s="35"/>
      <c r="C203" s="35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</row>
    <row r="204">
      <c r="A204" s="35"/>
      <c r="B204" s="35"/>
      <c r="C204" s="35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</row>
    <row r="205">
      <c r="A205" s="35"/>
      <c r="B205" s="35"/>
      <c r="C205" s="35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</row>
    <row r="206">
      <c r="A206" s="35"/>
      <c r="B206" s="35"/>
      <c r="C206" s="35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</row>
    <row r="207">
      <c r="A207" s="35"/>
      <c r="B207" s="35"/>
      <c r="C207" s="35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</row>
    <row r="208">
      <c r="A208" s="35"/>
      <c r="B208" s="35"/>
      <c r="C208" s="35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</row>
    <row r="209">
      <c r="A209" s="35"/>
      <c r="B209" s="35"/>
      <c r="C209" s="35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</row>
    <row r="210">
      <c r="A210" s="35"/>
      <c r="B210" s="35"/>
      <c r="C210" s="35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</row>
    <row r="211">
      <c r="A211" s="35"/>
      <c r="B211" s="35"/>
      <c r="C211" s="35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</row>
    <row r="212">
      <c r="A212" s="35"/>
      <c r="B212" s="35"/>
      <c r="C212" s="35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</row>
    <row r="213">
      <c r="A213" s="35"/>
      <c r="B213" s="35"/>
      <c r="C213" s="35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</row>
    <row r="214">
      <c r="A214" s="35"/>
      <c r="B214" s="35"/>
      <c r="C214" s="35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</row>
    <row r="215">
      <c r="A215" s="35"/>
      <c r="B215" s="35"/>
      <c r="C215" s="35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</row>
    <row r="216">
      <c r="A216" s="35"/>
      <c r="B216" s="35"/>
      <c r="C216" s="35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</row>
    <row r="217">
      <c r="A217" s="35"/>
      <c r="B217" s="35"/>
      <c r="C217" s="35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</row>
    <row r="218">
      <c r="A218" s="35"/>
      <c r="B218" s="35"/>
      <c r="C218" s="35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</row>
    <row r="219">
      <c r="A219" s="35"/>
      <c r="B219" s="35"/>
      <c r="C219" s="35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</row>
    <row r="220">
      <c r="A220" s="35"/>
      <c r="B220" s="35"/>
      <c r="C220" s="35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</row>
    <row r="221">
      <c r="A221" s="35"/>
      <c r="B221" s="35"/>
      <c r="C221" s="35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</row>
    <row r="222">
      <c r="A222" s="35"/>
      <c r="B222" s="35"/>
      <c r="C222" s="35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</row>
    <row r="223">
      <c r="A223" s="35"/>
      <c r="B223" s="35"/>
      <c r="C223" s="35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</row>
    <row r="224">
      <c r="A224" s="35"/>
      <c r="B224" s="35"/>
      <c r="C224" s="35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</row>
    <row r="225">
      <c r="A225" s="35"/>
      <c r="B225" s="35"/>
      <c r="C225" s="35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</row>
    <row r="226">
      <c r="A226" s="35"/>
      <c r="B226" s="35"/>
      <c r="C226" s="35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</row>
    <row r="227">
      <c r="A227" s="35"/>
      <c r="B227" s="35"/>
      <c r="C227" s="35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</row>
    <row r="228">
      <c r="A228" s="35"/>
      <c r="B228" s="35"/>
      <c r="C228" s="35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</row>
    <row r="229">
      <c r="A229" s="35"/>
      <c r="B229" s="35"/>
      <c r="C229" s="35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</row>
    <row r="230">
      <c r="A230" s="35"/>
      <c r="B230" s="35"/>
      <c r="C230" s="35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</row>
    <row r="231">
      <c r="A231" s="35"/>
      <c r="B231" s="35"/>
      <c r="C231" s="35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</row>
    <row r="232">
      <c r="A232" s="35"/>
      <c r="B232" s="35"/>
      <c r="C232" s="35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</row>
    <row r="233">
      <c r="A233" s="35"/>
      <c r="B233" s="35"/>
      <c r="C233" s="35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</row>
    <row r="234">
      <c r="A234" s="35"/>
      <c r="B234" s="35"/>
      <c r="C234" s="35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</row>
    <row r="235">
      <c r="A235" s="35"/>
      <c r="B235" s="35"/>
      <c r="C235" s="35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</row>
    <row r="236">
      <c r="A236" s="35"/>
      <c r="B236" s="35"/>
      <c r="C236" s="35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</row>
    <row r="237">
      <c r="A237" s="35"/>
      <c r="B237" s="35"/>
      <c r="C237" s="35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</row>
    <row r="238">
      <c r="A238" s="35"/>
      <c r="B238" s="35"/>
      <c r="C238" s="35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</row>
    <row r="239">
      <c r="A239" s="35"/>
      <c r="B239" s="35"/>
      <c r="C239" s="35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</row>
    <row r="240">
      <c r="A240" s="35"/>
      <c r="B240" s="35"/>
      <c r="C240" s="35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</row>
    <row r="241">
      <c r="A241" s="35"/>
      <c r="B241" s="35"/>
      <c r="C241" s="35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</row>
    <row r="242">
      <c r="A242" s="35"/>
      <c r="B242" s="35"/>
      <c r="C242" s="35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</row>
    <row r="243">
      <c r="A243" s="35"/>
      <c r="B243" s="35"/>
      <c r="C243" s="35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</row>
    <row r="244">
      <c r="A244" s="35"/>
      <c r="B244" s="35"/>
      <c r="C244" s="35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</row>
    <row r="245">
      <c r="A245" s="35"/>
      <c r="B245" s="35"/>
      <c r="C245" s="35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</row>
    <row r="246">
      <c r="A246" s="35"/>
      <c r="B246" s="35"/>
      <c r="C246" s="35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</row>
    <row r="247">
      <c r="A247" s="35"/>
      <c r="B247" s="35"/>
      <c r="C247" s="35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</row>
    <row r="248">
      <c r="A248" s="35"/>
      <c r="B248" s="35"/>
      <c r="C248" s="35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</row>
    <row r="249">
      <c r="A249" s="35"/>
      <c r="B249" s="35"/>
      <c r="C249" s="35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</row>
    <row r="250">
      <c r="A250" s="35"/>
      <c r="B250" s="35"/>
      <c r="C250" s="35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</row>
    <row r="251">
      <c r="A251" s="35"/>
      <c r="B251" s="35"/>
      <c r="C251" s="35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</row>
    <row r="252">
      <c r="A252" s="35"/>
      <c r="B252" s="35"/>
      <c r="C252" s="35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</row>
    <row r="253">
      <c r="A253" s="35"/>
      <c r="B253" s="35"/>
      <c r="C253" s="35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</row>
    <row r="254">
      <c r="A254" s="35"/>
      <c r="B254" s="35"/>
      <c r="C254" s="35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</row>
    <row r="255">
      <c r="A255" s="35"/>
      <c r="B255" s="35"/>
      <c r="C255" s="35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</row>
    <row r="256">
      <c r="A256" s="35"/>
      <c r="B256" s="35"/>
      <c r="C256" s="35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</row>
    <row r="257">
      <c r="A257" s="35"/>
      <c r="B257" s="35"/>
      <c r="C257" s="35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</row>
    <row r="258">
      <c r="A258" s="35"/>
      <c r="B258" s="35"/>
      <c r="C258" s="35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</row>
    <row r="259">
      <c r="A259" s="35"/>
      <c r="B259" s="35"/>
      <c r="C259" s="35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</row>
    <row r="260">
      <c r="A260" s="35"/>
      <c r="B260" s="35"/>
      <c r="C260" s="35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</row>
    <row r="261">
      <c r="A261" s="35"/>
      <c r="B261" s="35"/>
      <c r="C261" s="35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</row>
    <row r="262">
      <c r="A262" s="35"/>
      <c r="B262" s="35"/>
      <c r="C262" s="35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</row>
    <row r="263">
      <c r="A263" s="35"/>
      <c r="B263" s="35"/>
      <c r="C263" s="35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</row>
    <row r="264">
      <c r="A264" s="35"/>
      <c r="B264" s="35"/>
      <c r="C264" s="35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</row>
    <row r="265">
      <c r="A265" s="35"/>
      <c r="B265" s="35"/>
      <c r="C265" s="35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</row>
    <row r="266">
      <c r="A266" s="35"/>
      <c r="B266" s="35"/>
      <c r="C266" s="35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</row>
    <row r="267">
      <c r="A267" s="35"/>
      <c r="B267" s="35"/>
      <c r="C267" s="35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</row>
    <row r="268">
      <c r="A268" s="35"/>
      <c r="B268" s="35"/>
      <c r="C268" s="35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</row>
    <row r="269">
      <c r="A269" s="35"/>
      <c r="B269" s="35"/>
      <c r="C269" s="35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</row>
    <row r="270">
      <c r="A270" s="35"/>
      <c r="B270" s="35"/>
      <c r="C270" s="35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</row>
    <row r="271">
      <c r="A271" s="35"/>
      <c r="B271" s="35"/>
      <c r="C271" s="35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</row>
    <row r="272">
      <c r="A272" s="35"/>
      <c r="B272" s="35"/>
      <c r="C272" s="35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</row>
    <row r="273">
      <c r="A273" s="35"/>
      <c r="B273" s="35"/>
      <c r="C273" s="35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</row>
    <row r="274">
      <c r="A274" s="35"/>
      <c r="B274" s="35"/>
      <c r="C274" s="35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</row>
    <row r="275">
      <c r="A275" s="35"/>
      <c r="B275" s="35"/>
      <c r="C275" s="35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</row>
    <row r="276">
      <c r="A276" s="35"/>
      <c r="B276" s="35"/>
      <c r="C276" s="35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</row>
    <row r="277">
      <c r="A277" s="35"/>
      <c r="B277" s="35"/>
      <c r="C277" s="35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</row>
    <row r="278">
      <c r="A278" s="35"/>
      <c r="B278" s="35"/>
      <c r="C278" s="35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</row>
    <row r="279">
      <c r="A279" s="35"/>
      <c r="B279" s="35"/>
      <c r="C279" s="35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</row>
    <row r="280">
      <c r="A280" s="35"/>
      <c r="B280" s="35"/>
      <c r="C280" s="35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</row>
    <row r="281">
      <c r="A281" s="35"/>
      <c r="B281" s="35"/>
      <c r="C281" s="35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</row>
    <row r="282">
      <c r="A282" s="35"/>
      <c r="B282" s="35"/>
      <c r="C282" s="35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</row>
    <row r="283">
      <c r="A283" s="35"/>
      <c r="B283" s="35"/>
      <c r="C283" s="35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</row>
    <row r="284">
      <c r="A284" s="35"/>
      <c r="B284" s="35"/>
      <c r="C284" s="35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</row>
    <row r="285">
      <c r="A285" s="35"/>
      <c r="B285" s="35"/>
      <c r="C285" s="35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</row>
    <row r="286">
      <c r="A286" s="35"/>
      <c r="B286" s="35"/>
      <c r="C286" s="35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</row>
    <row r="287">
      <c r="A287" s="35"/>
      <c r="B287" s="35"/>
      <c r="C287" s="35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</row>
    <row r="288">
      <c r="A288" s="35"/>
      <c r="B288" s="35"/>
      <c r="C288" s="35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</row>
    <row r="289">
      <c r="A289" s="35"/>
      <c r="B289" s="35"/>
      <c r="C289" s="35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</row>
    <row r="290">
      <c r="A290" s="35"/>
      <c r="B290" s="35"/>
      <c r="C290" s="35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</row>
    <row r="291">
      <c r="A291" s="35"/>
      <c r="B291" s="35"/>
      <c r="C291" s="35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</row>
    <row r="292">
      <c r="A292" s="35"/>
      <c r="B292" s="35"/>
      <c r="C292" s="35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</row>
    <row r="293">
      <c r="A293" s="35"/>
      <c r="B293" s="35"/>
      <c r="C293" s="35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</row>
    <row r="294">
      <c r="A294" s="35"/>
      <c r="B294" s="35"/>
      <c r="C294" s="35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</row>
    <row r="295">
      <c r="A295" s="35"/>
      <c r="B295" s="35"/>
      <c r="C295" s="35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</row>
    <row r="296">
      <c r="A296" s="35"/>
      <c r="B296" s="35"/>
      <c r="C296" s="35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</row>
    <row r="297">
      <c r="A297" s="35"/>
      <c r="B297" s="35"/>
      <c r="C297" s="35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</row>
    <row r="298">
      <c r="A298" s="35"/>
      <c r="B298" s="35"/>
      <c r="C298" s="35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</row>
    <row r="299">
      <c r="A299" s="35"/>
      <c r="B299" s="35"/>
      <c r="C299" s="35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</row>
    <row r="300">
      <c r="A300" s="35"/>
      <c r="B300" s="35"/>
      <c r="C300" s="35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</row>
    <row r="301">
      <c r="A301" s="35"/>
      <c r="B301" s="35"/>
      <c r="C301" s="35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</row>
    <row r="302">
      <c r="A302" s="35"/>
      <c r="B302" s="35"/>
      <c r="C302" s="35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</row>
    <row r="303">
      <c r="A303" s="35"/>
      <c r="B303" s="35"/>
      <c r="C303" s="35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</row>
    <row r="304">
      <c r="A304" s="35"/>
      <c r="B304" s="35"/>
      <c r="C304" s="35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</row>
    <row r="305">
      <c r="A305" s="35"/>
      <c r="B305" s="35"/>
      <c r="C305" s="35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</row>
    <row r="306">
      <c r="A306" s="35"/>
      <c r="B306" s="35"/>
      <c r="C306" s="35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</row>
    <row r="307">
      <c r="A307" s="35"/>
      <c r="B307" s="35"/>
      <c r="C307" s="35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</row>
    <row r="308">
      <c r="A308" s="35"/>
      <c r="B308" s="35"/>
      <c r="C308" s="35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</row>
    <row r="309">
      <c r="A309" s="35"/>
      <c r="B309" s="35"/>
      <c r="C309" s="35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</row>
    <row r="310">
      <c r="A310" s="35"/>
      <c r="B310" s="35"/>
      <c r="C310" s="35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</row>
    <row r="311">
      <c r="A311" s="35"/>
      <c r="B311" s="35"/>
      <c r="C311" s="35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</row>
    <row r="312">
      <c r="A312" s="35"/>
      <c r="B312" s="35"/>
      <c r="C312" s="35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</row>
    <row r="313">
      <c r="A313" s="35"/>
      <c r="B313" s="35"/>
      <c r="C313" s="35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</row>
    <row r="314">
      <c r="A314" s="35"/>
      <c r="B314" s="35"/>
      <c r="C314" s="35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</row>
    <row r="315">
      <c r="A315" s="35"/>
      <c r="B315" s="35"/>
      <c r="C315" s="35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</row>
    <row r="316">
      <c r="A316" s="35"/>
      <c r="B316" s="35"/>
      <c r="C316" s="35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</row>
    <row r="317">
      <c r="A317" s="35"/>
      <c r="B317" s="35"/>
      <c r="C317" s="35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</row>
    <row r="318">
      <c r="A318" s="35"/>
      <c r="B318" s="35"/>
      <c r="C318" s="35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</row>
    <row r="319">
      <c r="A319" s="35"/>
      <c r="B319" s="35"/>
      <c r="C319" s="35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</row>
    <row r="320">
      <c r="A320" s="35"/>
      <c r="B320" s="35"/>
      <c r="C320" s="35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</row>
    <row r="321">
      <c r="A321" s="35"/>
      <c r="B321" s="35"/>
      <c r="C321" s="35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</row>
    <row r="322">
      <c r="A322" s="35"/>
      <c r="B322" s="35"/>
      <c r="C322" s="35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</row>
    <row r="323">
      <c r="A323" s="35"/>
      <c r="B323" s="35"/>
      <c r="C323" s="35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</row>
    <row r="324">
      <c r="A324" s="35"/>
      <c r="B324" s="35"/>
      <c r="C324" s="35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</row>
    <row r="325">
      <c r="A325" s="35"/>
      <c r="B325" s="35"/>
      <c r="C325" s="35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</row>
    <row r="326">
      <c r="A326" s="35"/>
      <c r="B326" s="35"/>
      <c r="C326" s="35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</row>
    <row r="327">
      <c r="A327" s="35"/>
      <c r="B327" s="35"/>
      <c r="C327" s="35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</row>
    <row r="328">
      <c r="A328" s="35"/>
      <c r="B328" s="35"/>
      <c r="C328" s="35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</row>
    <row r="329">
      <c r="A329" s="35"/>
      <c r="B329" s="35"/>
      <c r="C329" s="35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</row>
    <row r="330">
      <c r="A330" s="35"/>
      <c r="B330" s="35"/>
      <c r="C330" s="35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</row>
    <row r="331">
      <c r="A331" s="35"/>
      <c r="B331" s="35"/>
      <c r="C331" s="35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</row>
    <row r="332">
      <c r="A332" s="35"/>
      <c r="B332" s="35"/>
      <c r="C332" s="35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</row>
    <row r="333">
      <c r="A333" s="35"/>
      <c r="B333" s="35"/>
      <c r="C333" s="35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</row>
    <row r="334">
      <c r="A334" s="35"/>
      <c r="B334" s="35"/>
      <c r="C334" s="35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</row>
    <row r="335">
      <c r="A335" s="35"/>
      <c r="B335" s="35"/>
      <c r="C335" s="35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</row>
    <row r="336">
      <c r="A336" s="35"/>
      <c r="B336" s="35"/>
      <c r="C336" s="35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</row>
    <row r="337">
      <c r="A337" s="35"/>
      <c r="B337" s="35"/>
      <c r="C337" s="35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</row>
    <row r="338">
      <c r="A338" s="35"/>
      <c r="B338" s="35"/>
      <c r="C338" s="35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</row>
    <row r="339">
      <c r="A339" s="35"/>
      <c r="B339" s="35"/>
      <c r="C339" s="35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</row>
    <row r="340">
      <c r="A340" s="35"/>
      <c r="B340" s="35"/>
      <c r="C340" s="35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</row>
    <row r="341">
      <c r="A341" s="35"/>
      <c r="B341" s="35"/>
      <c r="C341" s="35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</row>
    <row r="342">
      <c r="A342" s="35"/>
      <c r="B342" s="35"/>
      <c r="C342" s="35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</row>
    <row r="343">
      <c r="A343" s="35"/>
      <c r="B343" s="35"/>
      <c r="C343" s="35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</row>
    <row r="344">
      <c r="A344" s="35"/>
      <c r="B344" s="35"/>
      <c r="C344" s="35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</row>
    <row r="345">
      <c r="A345" s="35"/>
      <c r="B345" s="35"/>
      <c r="C345" s="35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</row>
    <row r="346">
      <c r="A346" s="35"/>
      <c r="B346" s="35"/>
      <c r="C346" s="35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</row>
    <row r="347">
      <c r="A347" s="35"/>
      <c r="B347" s="35"/>
      <c r="C347" s="35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</row>
    <row r="348">
      <c r="A348" s="35"/>
      <c r="B348" s="35"/>
      <c r="C348" s="35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</row>
    <row r="349">
      <c r="A349" s="35"/>
      <c r="B349" s="35"/>
      <c r="C349" s="35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</row>
    <row r="350">
      <c r="A350" s="35"/>
      <c r="B350" s="35"/>
      <c r="C350" s="35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</row>
    <row r="351">
      <c r="A351" s="35"/>
      <c r="B351" s="35"/>
      <c r="C351" s="35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</row>
    <row r="352">
      <c r="A352" s="35"/>
      <c r="B352" s="35"/>
      <c r="C352" s="35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</row>
    <row r="353">
      <c r="A353" s="35"/>
      <c r="B353" s="35"/>
      <c r="C353" s="35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</row>
    <row r="354">
      <c r="A354" s="35"/>
      <c r="B354" s="35"/>
      <c r="C354" s="35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</row>
    <row r="355">
      <c r="A355" s="35"/>
      <c r="B355" s="35"/>
      <c r="C355" s="35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</row>
    <row r="356">
      <c r="A356" s="35"/>
      <c r="B356" s="35"/>
      <c r="C356" s="35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</row>
    <row r="357">
      <c r="A357" s="35"/>
      <c r="B357" s="35"/>
      <c r="C357" s="35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</row>
    <row r="358">
      <c r="A358" s="35"/>
      <c r="B358" s="35"/>
      <c r="C358" s="35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</row>
    <row r="359">
      <c r="A359" s="35"/>
      <c r="B359" s="35"/>
      <c r="C359" s="35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</row>
    <row r="360">
      <c r="A360" s="35"/>
      <c r="B360" s="35"/>
      <c r="C360" s="35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</row>
    <row r="361">
      <c r="A361" s="35"/>
      <c r="B361" s="35"/>
      <c r="C361" s="35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</row>
    <row r="362">
      <c r="A362" s="35"/>
      <c r="B362" s="35"/>
      <c r="C362" s="35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</row>
    <row r="363">
      <c r="A363" s="35"/>
      <c r="B363" s="35"/>
      <c r="C363" s="35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</row>
    <row r="364">
      <c r="A364" s="35"/>
      <c r="B364" s="35"/>
      <c r="C364" s="35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</row>
    <row r="365">
      <c r="A365" s="35"/>
      <c r="B365" s="35"/>
      <c r="C365" s="35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</row>
    <row r="366">
      <c r="A366" s="35"/>
      <c r="B366" s="35"/>
      <c r="C366" s="35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</row>
    <row r="367">
      <c r="A367" s="35"/>
      <c r="B367" s="35"/>
      <c r="C367" s="35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</row>
    <row r="368">
      <c r="A368" s="35"/>
      <c r="B368" s="35"/>
      <c r="C368" s="35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</row>
    <row r="369">
      <c r="A369" s="35"/>
      <c r="B369" s="35"/>
      <c r="C369" s="35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</row>
    <row r="370">
      <c r="A370" s="35"/>
      <c r="B370" s="35"/>
      <c r="C370" s="35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</row>
    <row r="371">
      <c r="A371" s="35"/>
      <c r="B371" s="35"/>
      <c r="C371" s="35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</row>
    <row r="372">
      <c r="A372" s="35"/>
      <c r="B372" s="35"/>
      <c r="C372" s="35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</row>
    <row r="373">
      <c r="A373" s="35"/>
      <c r="B373" s="35"/>
      <c r="C373" s="35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</row>
    <row r="374">
      <c r="A374" s="35"/>
      <c r="B374" s="35"/>
      <c r="C374" s="35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</row>
    <row r="375">
      <c r="A375" s="35"/>
      <c r="B375" s="35"/>
      <c r="C375" s="35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</row>
    <row r="376">
      <c r="A376" s="35"/>
      <c r="B376" s="35"/>
      <c r="C376" s="35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</row>
    <row r="377">
      <c r="A377" s="35"/>
      <c r="B377" s="35"/>
      <c r="C377" s="35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</row>
    <row r="378">
      <c r="A378" s="35"/>
      <c r="B378" s="35"/>
      <c r="C378" s="35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</row>
    <row r="379">
      <c r="A379" s="35"/>
      <c r="B379" s="35"/>
      <c r="C379" s="35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</row>
    <row r="380">
      <c r="A380" s="35"/>
      <c r="B380" s="35"/>
      <c r="C380" s="35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</row>
    <row r="381">
      <c r="A381" s="35"/>
      <c r="B381" s="35"/>
      <c r="C381" s="35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</row>
    <row r="382">
      <c r="A382" s="35"/>
      <c r="B382" s="35"/>
      <c r="C382" s="35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</row>
    <row r="383">
      <c r="A383" s="35"/>
      <c r="B383" s="35"/>
      <c r="C383" s="35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</row>
    <row r="384">
      <c r="A384" s="35"/>
      <c r="B384" s="35"/>
      <c r="C384" s="35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</row>
    <row r="385">
      <c r="A385" s="35"/>
      <c r="B385" s="35"/>
      <c r="C385" s="35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</row>
    <row r="386">
      <c r="A386" s="35"/>
      <c r="B386" s="35"/>
      <c r="C386" s="35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</row>
    <row r="387">
      <c r="A387" s="35"/>
      <c r="B387" s="35"/>
      <c r="C387" s="35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</row>
    <row r="388">
      <c r="A388" s="35"/>
      <c r="B388" s="35"/>
      <c r="C388" s="35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</row>
    <row r="389">
      <c r="A389" s="35"/>
      <c r="B389" s="35"/>
      <c r="C389" s="35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</row>
    <row r="390">
      <c r="A390" s="35"/>
      <c r="B390" s="35"/>
      <c r="C390" s="35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</row>
    <row r="391">
      <c r="A391" s="35"/>
      <c r="B391" s="35"/>
      <c r="C391" s="35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</row>
    <row r="392">
      <c r="A392" s="35"/>
      <c r="B392" s="35"/>
      <c r="C392" s="35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</row>
    <row r="393">
      <c r="A393" s="35"/>
      <c r="B393" s="35"/>
      <c r="C393" s="35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</row>
    <row r="394">
      <c r="A394" s="35"/>
      <c r="B394" s="35"/>
      <c r="C394" s="35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</row>
    <row r="395">
      <c r="A395" s="35"/>
      <c r="B395" s="35"/>
      <c r="C395" s="35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</row>
    <row r="396">
      <c r="A396" s="35"/>
      <c r="B396" s="35"/>
      <c r="C396" s="35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</row>
    <row r="397">
      <c r="A397" s="35"/>
      <c r="B397" s="35"/>
      <c r="C397" s="35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</row>
    <row r="398">
      <c r="A398" s="35"/>
      <c r="B398" s="35"/>
      <c r="C398" s="35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</row>
    <row r="399">
      <c r="A399" s="35"/>
      <c r="B399" s="35"/>
      <c r="C399" s="35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</row>
    <row r="400">
      <c r="A400" s="35"/>
      <c r="B400" s="35"/>
      <c r="C400" s="35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</row>
    <row r="401">
      <c r="A401" s="35"/>
      <c r="B401" s="35"/>
      <c r="C401" s="35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</row>
    <row r="402">
      <c r="A402" s="35"/>
      <c r="B402" s="35"/>
      <c r="C402" s="35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</row>
    <row r="403">
      <c r="A403" s="35"/>
      <c r="B403" s="35"/>
      <c r="C403" s="35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</row>
    <row r="404">
      <c r="A404" s="35"/>
      <c r="B404" s="35"/>
      <c r="C404" s="35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</row>
    <row r="405">
      <c r="A405" s="35"/>
      <c r="B405" s="35"/>
      <c r="C405" s="35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</row>
    <row r="406">
      <c r="A406" s="35"/>
      <c r="B406" s="35"/>
      <c r="C406" s="35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</row>
    <row r="407">
      <c r="A407" s="35"/>
      <c r="B407" s="35"/>
      <c r="C407" s="35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</row>
    <row r="408">
      <c r="A408" s="35"/>
      <c r="B408" s="35"/>
      <c r="C408" s="35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</row>
    <row r="409">
      <c r="A409" s="35"/>
      <c r="B409" s="35"/>
      <c r="C409" s="35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</row>
    <row r="410">
      <c r="A410" s="35"/>
      <c r="B410" s="35"/>
      <c r="C410" s="35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</row>
    <row r="411">
      <c r="A411" s="35"/>
      <c r="B411" s="35"/>
      <c r="C411" s="35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</row>
    <row r="412">
      <c r="A412" s="35"/>
      <c r="B412" s="35"/>
      <c r="C412" s="35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</row>
    <row r="413">
      <c r="A413" s="35"/>
      <c r="B413" s="35"/>
      <c r="C413" s="35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</row>
    <row r="414">
      <c r="A414" s="35"/>
      <c r="B414" s="35"/>
      <c r="C414" s="35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</row>
    <row r="415">
      <c r="A415" s="35"/>
      <c r="B415" s="35"/>
      <c r="C415" s="35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</row>
    <row r="416">
      <c r="A416" s="35"/>
      <c r="B416" s="35"/>
      <c r="C416" s="35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</row>
    <row r="417">
      <c r="A417" s="35"/>
      <c r="B417" s="35"/>
      <c r="C417" s="35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</row>
    <row r="418">
      <c r="A418" s="35"/>
      <c r="B418" s="35"/>
      <c r="C418" s="35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</row>
    <row r="419">
      <c r="A419" s="35"/>
      <c r="B419" s="35"/>
      <c r="C419" s="35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</row>
    <row r="420">
      <c r="A420" s="35"/>
      <c r="B420" s="35"/>
      <c r="C420" s="35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</row>
    <row r="421">
      <c r="A421" s="35"/>
      <c r="B421" s="35"/>
      <c r="C421" s="35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</row>
    <row r="422">
      <c r="A422" s="35"/>
      <c r="B422" s="35"/>
      <c r="C422" s="35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</row>
    <row r="423">
      <c r="A423" s="35"/>
      <c r="B423" s="35"/>
      <c r="C423" s="35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</row>
    <row r="424">
      <c r="A424" s="35"/>
      <c r="B424" s="35"/>
      <c r="C424" s="35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</row>
    <row r="425">
      <c r="A425" s="35"/>
      <c r="B425" s="35"/>
      <c r="C425" s="35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</row>
    <row r="426">
      <c r="A426" s="35"/>
      <c r="B426" s="35"/>
      <c r="C426" s="35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</row>
    <row r="427">
      <c r="A427" s="35"/>
      <c r="B427" s="35"/>
      <c r="C427" s="35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</row>
    <row r="428">
      <c r="A428" s="35"/>
      <c r="B428" s="35"/>
      <c r="C428" s="35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</row>
    <row r="429">
      <c r="A429" s="35"/>
      <c r="B429" s="35"/>
      <c r="C429" s="35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</row>
    <row r="430">
      <c r="A430" s="35"/>
      <c r="B430" s="35"/>
      <c r="C430" s="35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</row>
    <row r="431">
      <c r="A431" s="35"/>
      <c r="B431" s="35"/>
      <c r="C431" s="35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</row>
    <row r="432">
      <c r="A432" s="35"/>
      <c r="B432" s="35"/>
      <c r="C432" s="35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</row>
    <row r="433">
      <c r="A433" s="35"/>
      <c r="B433" s="35"/>
      <c r="C433" s="35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</row>
    <row r="434">
      <c r="A434" s="35"/>
      <c r="B434" s="35"/>
      <c r="C434" s="35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</row>
    <row r="435">
      <c r="A435" s="35"/>
      <c r="B435" s="35"/>
      <c r="C435" s="35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</row>
    <row r="436">
      <c r="A436" s="35"/>
      <c r="B436" s="35"/>
      <c r="C436" s="35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</row>
    <row r="437">
      <c r="A437" s="35"/>
      <c r="B437" s="35"/>
      <c r="C437" s="35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</row>
    <row r="438">
      <c r="A438" s="35"/>
      <c r="B438" s="35"/>
      <c r="C438" s="35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</row>
    <row r="439">
      <c r="A439" s="35"/>
      <c r="B439" s="35"/>
      <c r="C439" s="35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</row>
    <row r="440">
      <c r="A440" s="35"/>
      <c r="B440" s="35"/>
      <c r="C440" s="35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</row>
    <row r="441">
      <c r="A441" s="35"/>
      <c r="B441" s="35"/>
      <c r="C441" s="35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</row>
    <row r="442">
      <c r="A442" s="35"/>
      <c r="B442" s="35"/>
      <c r="C442" s="35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</row>
    <row r="443">
      <c r="A443" s="35"/>
      <c r="B443" s="35"/>
      <c r="C443" s="35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</row>
    <row r="444">
      <c r="A444" s="35"/>
      <c r="B444" s="35"/>
      <c r="C444" s="35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</row>
    <row r="445">
      <c r="A445" s="35"/>
      <c r="B445" s="35"/>
      <c r="C445" s="35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</row>
    <row r="446">
      <c r="A446" s="35"/>
      <c r="B446" s="35"/>
      <c r="C446" s="35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</row>
    <row r="447">
      <c r="A447" s="35"/>
      <c r="B447" s="35"/>
      <c r="C447" s="35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</row>
    <row r="448">
      <c r="A448" s="35"/>
      <c r="B448" s="35"/>
      <c r="C448" s="35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</row>
    <row r="449">
      <c r="A449" s="35"/>
      <c r="B449" s="35"/>
      <c r="C449" s="35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</row>
    <row r="450">
      <c r="A450" s="35"/>
      <c r="B450" s="35"/>
      <c r="C450" s="35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</row>
    <row r="451">
      <c r="A451" s="35"/>
      <c r="B451" s="35"/>
      <c r="C451" s="35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</row>
    <row r="452">
      <c r="A452" s="35"/>
      <c r="B452" s="35"/>
      <c r="C452" s="35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</row>
    <row r="453">
      <c r="A453" s="35"/>
      <c r="B453" s="35"/>
      <c r="C453" s="35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</row>
    <row r="454">
      <c r="A454" s="35"/>
      <c r="B454" s="35"/>
      <c r="C454" s="35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</row>
    <row r="455">
      <c r="A455" s="35"/>
      <c r="B455" s="35"/>
      <c r="C455" s="35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</row>
    <row r="456">
      <c r="A456" s="35"/>
      <c r="B456" s="35"/>
      <c r="C456" s="35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</row>
    <row r="457">
      <c r="A457" s="35"/>
      <c r="B457" s="35"/>
      <c r="C457" s="35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</row>
    <row r="458">
      <c r="A458" s="35"/>
      <c r="B458" s="35"/>
      <c r="C458" s="35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</row>
    <row r="459">
      <c r="A459" s="35"/>
      <c r="B459" s="35"/>
      <c r="C459" s="35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</row>
    <row r="460">
      <c r="A460" s="35"/>
      <c r="B460" s="35"/>
      <c r="C460" s="35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</row>
    <row r="461">
      <c r="A461" s="35"/>
      <c r="B461" s="35"/>
      <c r="C461" s="35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</row>
    <row r="462">
      <c r="A462" s="35"/>
      <c r="B462" s="35"/>
      <c r="C462" s="35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</row>
    <row r="463">
      <c r="A463" s="35"/>
      <c r="B463" s="35"/>
      <c r="C463" s="35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</row>
    <row r="464">
      <c r="A464" s="35"/>
      <c r="B464" s="35"/>
      <c r="C464" s="35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</row>
    <row r="465">
      <c r="A465" s="35"/>
      <c r="B465" s="35"/>
      <c r="C465" s="35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</row>
    <row r="466">
      <c r="A466" s="35"/>
      <c r="B466" s="35"/>
      <c r="C466" s="35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</row>
    <row r="467">
      <c r="A467" s="35"/>
      <c r="B467" s="35"/>
      <c r="C467" s="35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</row>
    <row r="468">
      <c r="A468" s="35"/>
      <c r="B468" s="35"/>
      <c r="C468" s="35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</row>
    <row r="469">
      <c r="A469" s="35"/>
      <c r="B469" s="35"/>
      <c r="C469" s="35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</row>
    <row r="470">
      <c r="A470" s="35"/>
      <c r="B470" s="35"/>
      <c r="C470" s="35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</row>
    <row r="471">
      <c r="A471" s="35"/>
      <c r="B471" s="35"/>
      <c r="C471" s="35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</row>
    <row r="472">
      <c r="A472" s="35"/>
      <c r="B472" s="35"/>
      <c r="C472" s="35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</row>
    <row r="473">
      <c r="A473" s="35"/>
      <c r="B473" s="35"/>
      <c r="C473" s="35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</row>
    <row r="474">
      <c r="A474" s="35"/>
      <c r="B474" s="35"/>
      <c r="C474" s="35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</row>
    <row r="475">
      <c r="A475" s="35"/>
      <c r="B475" s="35"/>
      <c r="C475" s="35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</row>
    <row r="476">
      <c r="A476" s="35"/>
      <c r="B476" s="35"/>
      <c r="C476" s="35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</row>
    <row r="477">
      <c r="A477" s="35"/>
      <c r="B477" s="35"/>
      <c r="C477" s="35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</row>
    <row r="478">
      <c r="A478" s="35"/>
      <c r="B478" s="35"/>
      <c r="C478" s="35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</row>
    <row r="479">
      <c r="A479" s="35"/>
      <c r="B479" s="35"/>
      <c r="C479" s="35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</row>
    <row r="480">
      <c r="A480" s="35"/>
      <c r="B480" s="35"/>
      <c r="C480" s="35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</row>
    <row r="481">
      <c r="A481" s="35"/>
      <c r="B481" s="35"/>
      <c r="C481" s="35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</row>
    <row r="482">
      <c r="A482" s="35"/>
      <c r="B482" s="35"/>
      <c r="C482" s="35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</row>
    <row r="483">
      <c r="A483" s="35"/>
      <c r="B483" s="35"/>
      <c r="C483" s="35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</row>
    <row r="484">
      <c r="A484" s="35"/>
      <c r="B484" s="35"/>
      <c r="C484" s="35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</row>
    <row r="485">
      <c r="A485" s="35"/>
      <c r="B485" s="35"/>
      <c r="C485" s="35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</row>
    <row r="486">
      <c r="A486" s="35"/>
      <c r="B486" s="35"/>
      <c r="C486" s="35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</row>
    <row r="487">
      <c r="A487" s="35"/>
      <c r="B487" s="35"/>
      <c r="C487" s="35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</row>
    <row r="488">
      <c r="A488" s="35"/>
      <c r="B488" s="35"/>
      <c r="C488" s="35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</row>
    <row r="489">
      <c r="A489" s="35"/>
      <c r="B489" s="35"/>
      <c r="C489" s="35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</row>
    <row r="490">
      <c r="A490" s="35"/>
      <c r="B490" s="35"/>
      <c r="C490" s="35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</row>
    <row r="491">
      <c r="A491" s="35"/>
      <c r="B491" s="35"/>
      <c r="C491" s="35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</row>
    <row r="492">
      <c r="A492" s="35"/>
      <c r="B492" s="35"/>
      <c r="C492" s="35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</row>
    <row r="493">
      <c r="A493" s="35"/>
      <c r="B493" s="35"/>
      <c r="C493" s="35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</row>
    <row r="494">
      <c r="A494" s="35"/>
      <c r="B494" s="35"/>
      <c r="C494" s="35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</row>
    <row r="495">
      <c r="A495" s="35"/>
      <c r="B495" s="35"/>
      <c r="C495" s="35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</row>
    <row r="496">
      <c r="A496" s="35"/>
      <c r="B496" s="35"/>
      <c r="C496" s="35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</row>
    <row r="497">
      <c r="A497" s="35"/>
      <c r="B497" s="35"/>
      <c r="C497" s="35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</row>
    <row r="498">
      <c r="A498" s="35"/>
      <c r="B498" s="35"/>
      <c r="C498" s="35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</row>
    <row r="499">
      <c r="A499" s="35"/>
      <c r="B499" s="35"/>
      <c r="C499" s="35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</row>
    <row r="500">
      <c r="A500" s="35"/>
      <c r="B500" s="35"/>
      <c r="C500" s="35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</row>
    <row r="501">
      <c r="A501" s="35"/>
      <c r="B501" s="35"/>
      <c r="C501" s="35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</row>
    <row r="502">
      <c r="A502" s="35"/>
      <c r="B502" s="35"/>
      <c r="C502" s="35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</row>
    <row r="503">
      <c r="A503" s="35"/>
      <c r="B503" s="35"/>
      <c r="C503" s="35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</row>
    <row r="504">
      <c r="A504" s="35"/>
      <c r="B504" s="35"/>
      <c r="C504" s="35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</row>
    <row r="505">
      <c r="A505" s="35"/>
      <c r="B505" s="35"/>
      <c r="C505" s="35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</row>
    <row r="506">
      <c r="A506" s="35"/>
      <c r="B506" s="35"/>
      <c r="C506" s="35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</row>
    <row r="507">
      <c r="A507" s="35"/>
      <c r="B507" s="35"/>
      <c r="C507" s="35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</row>
    <row r="508">
      <c r="A508" s="35"/>
      <c r="B508" s="35"/>
      <c r="C508" s="35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</row>
    <row r="509">
      <c r="A509" s="35"/>
      <c r="B509" s="35"/>
      <c r="C509" s="35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</row>
    <row r="510">
      <c r="A510" s="35"/>
      <c r="B510" s="35"/>
      <c r="C510" s="35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</row>
    <row r="511">
      <c r="A511" s="35"/>
      <c r="B511" s="35"/>
      <c r="C511" s="35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</row>
    <row r="512">
      <c r="A512" s="35"/>
      <c r="B512" s="35"/>
      <c r="C512" s="35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</row>
    <row r="513">
      <c r="A513" s="35"/>
      <c r="B513" s="35"/>
      <c r="C513" s="35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</row>
    <row r="514">
      <c r="A514" s="35"/>
      <c r="B514" s="35"/>
      <c r="C514" s="35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</row>
    <row r="515">
      <c r="A515" s="35"/>
      <c r="B515" s="35"/>
      <c r="C515" s="35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</row>
    <row r="516">
      <c r="A516" s="35"/>
      <c r="B516" s="35"/>
      <c r="C516" s="35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</row>
    <row r="517">
      <c r="A517" s="35"/>
      <c r="B517" s="35"/>
      <c r="C517" s="35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</row>
    <row r="518">
      <c r="A518" s="35"/>
      <c r="B518" s="35"/>
      <c r="C518" s="35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</row>
    <row r="519">
      <c r="A519" s="35"/>
      <c r="B519" s="35"/>
      <c r="C519" s="35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</row>
    <row r="520">
      <c r="A520" s="35"/>
      <c r="B520" s="35"/>
      <c r="C520" s="35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</row>
    <row r="521">
      <c r="A521" s="35"/>
      <c r="B521" s="35"/>
      <c r="C521" s="35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</row>
    <row r="522">
      <c r="A522" s="35"/>
      <c r="B522" s="35"/>
      <c r="C522" s="35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</row>
    <row r="523">
      <c r="A523" s="35"/>
      <c r="B523" s="35"/>
      <c r="C523" s="35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</row>
    <row r="524">
      <c r="A524" s="35"/>
      <c r="B524" s="35"/>
      <c r="C524" s="35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</row>
    <row r="525">
      <c r="A525" s="35"/>
      <c r="B525" s="35"/>
      <c r="C525" s="35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</row>
    <row r="526">
      <c r="A526" s="35"/>
      <c r="B526" s="35"/>
      <c r="C526" s="35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</row>
    <row r="527">
      <c r="A527" s="35"/>
      <c r="B527" s="35"/>
      <c r="C527" s="35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</row>
    <row r="528">
      <c r="A528" s="35"/>
      <c r="B528" s="35"/>
      <c r="C528" s="35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</row>
    <row r="529">
      <c r="A529" s="35"/>
      <c r="B529" s="35"/>
      <c r="C529" s="35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</row>
    <row r="530">
      <c r="A530" s="35"/>
      <c r="B530" s="35"/>
      <c r="C530" s="35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</row>
    <row r="531">
      <c r="A531" s="35"/>
      <c r="B531" s="35"/>
      <c r="C531" s="35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</row>
    <row r="532">
      <c r="A532" s="35"/>
      <c r="B532" s="35"/>
      <c r="C532" s="35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</row>
    <row r="533">
      <c r="A533" s="35"/>
      <c r="B533" s="35"/>
      <c r="C533" s="35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</row>
    <row r="534">
      <c r="A534" s="35"/>
      <c r="B534" s="35"/>
      <c r="C534" s="35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</row>
    <row r="535">
      <c r="A535" s="35"/>
      <c r="B535" s="35"/>
      <c r="C535" s="35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</row>
    <row r="536">
      <c r="A536" s="35"/>
      <c r="B536" s="35"/>
      <c r="C536" s="35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</row>
    <row r="537">
      <c r="A537" s="35"/>
      <c r="B537" s="35"/>
      <c r="C537" s="35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</row>
    <row r="538">
      <c r="A538" s="35"/>
      <c r="B538" s="35"/>
      <c r="C538" s="35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</row>
    <row r="539">
      <c r="A539" s="35"/>
      <c r="B539" s="35"/>
      <c r="C539" s="35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</row>
    <row r="540">
      <c r="A540" s="35"/>
      <c r="B540" s="35"/>
      <c r="C540" s="35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</row>
    <row r="541">
      <c r="A541" s="35"/>
      <c r="B541" s="35"/>
      <c r="C541" s="35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</row>
    <row r="542">
      <c r="A542" s="35"/>
      <c r="B542" s="35"/>
      <c r="C542" s="35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</row>
    <row r="543">
      <c r="A543" s="35"/>
      <c r="B543" s="35"/>
      <c r="C543" s="35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</row>
    <row r="544">
      <c r="A544" s="35"/>
      <c r="B544" s="35"/>
      <c r="C544" s="35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</row>
    <row r="545">
      <c r="A545" s="35"/>
      <c r="B545" s="35"/>
      <c r="C545" s="35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</row>
    <row r="546">
      <c r="A546" s="35"/>
      <c r="B546" s="35"/>
      <c r="C546" s="35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</row>
    <row r="547">
      <c r="A547" s="35"/>
      <c r="B547" s="35"/>
      <c r="C547" s="35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</row>
    <row r="548">
      <c r="A548" s="35"/>
      <c r="B548" s="35"/>
      <c r="C548" s="35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</row>
    <row r="549">
      <c r="A549" s="35"/>
      <c r="B549" s="35"/>
      <c r="C549" s="35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</row>
    <row r="550">
      <c r="A550" s="35"/>
      <c r="B550" s="35"/>
      <c r="C550" s="35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</row>
    <row r="551">
      <c r="A551" s="35"/>
      <c r="B551" s="35"/>
      <c r="C551" s="35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</row>
    <row r="552">
      <c r="A552" s="35"/>
      <c r="B552" s="35"/>
      <c r="C552" s="35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</row>
    <row r="553">
      <c r="A553" s="35"/>
      <c r="B553" s="35"/>
      <c r="C553" s="35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</row>
    <row r="554">
      <c r="A554" s="35"/>
      <c r="B554" s="35"/>
      <c r="C554" s="35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</row>
    <row r="555">
      <c r="A555" s="35"/>
      <c r="B555" s="35"/>
      <c r="C555" s="35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</row>
    <row r="556">
      <c r="A556" s="35"/>
      <c r="B556" s="35"/>
      <c r="C556" s="35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</row>
    <row r="557">
      <c r="A557" s="35"/>
      <c r="B557" s="35"/>
      <c r="C557" s="35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</row>
    <row r="558">
      <c r="A558" s="35"/>
      <c r="B558" s="35"/>
      <c r="C558" s="35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</row>
    <row r="559">
      <c r="A559" s="35"/>
      <c r="B559" s="35"/>
      <c r="C559" s="35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</row>
    <row r="560">
      <c r="A560" s="35"/>
      <c r="B560" s="35"/>
      <c r="C560" s="35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</row>
    <row r="561">
      <c r="A561" s="35"/>
      <c r="B561" s="35"/>
      <c r="C561" s="35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</row>
    <row r="562">
      <c r="A562" s="35"/>
      <c r="B562" s="35"/>
      <c r="C562" s="35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</row>
    <row r="563">
      <c r="A563" s="35"/>
      <c r="B563" s="35"/>
      <c r="C563" s="35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</row>
    <row r="564">
      <c r="A564" s="35"/>
      <c r="B564" s="35"/>
      <c r="C564" s="35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</row>
    <row r="565">
      <c r="A565" s="35"/>
      <c r="B565" s="35"/>
      <c r="C565" s="35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</row>
    <row r="566">
      <c r="A566" s="35"/>
      <c r="B566" s="35"/>
      <c r="C566" s="35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</row>
    <row r="567">
      <c r="A567" s="35"/>
      <c r="B567" s="35"/>
      <c r="C567" s="35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</row>
    <row r="568">
      <c r="A568" s="35"/>
      <c r="B568" s="35"/>
      <c r="C568" s="35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</row>
    <row r="569">
      <c r="A569" s="35"/>
      <c r="B569" s="35"/>
      <c r="C569" s="35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</row>
    <row r="570">
      <c r="A570" s="35"/>
      <c r="B570" s="35"/>
      <c r="C570" s="35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</row>
    <row r="571">
      <c r="A571" s="35"/>
      <c r="B571" s="35"/>
      <c r="C571" s="35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</row>
    <row r="572">
      <c r="A572" s="35"/>
      <c r="B572" s="35"/>
      <c r="C572" s="35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</row>
    <row r="573">
      <c r="A573" s="35"/>
      <c r="B573" s="35"/>
      <c r="C573" s="35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</row>
    <row r="574">
      <c r="A574" s="35"/>
      <c r="B574" s="35"/>
      <c r="C574" s="35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</row>
    <row r="575">
      <c r="A575" s="35"/>
      <c r="B575" s="35"/>
      <c r="C575" s="35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</row>
    <row r="576">
      <c r="A576" s="35"/>
      <c r="B576" s="35"/>
      <c r="C576" s="35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</row>
    <row r="577">
      <c r="A577" s="35"/>
      <c r="B577" s="35"/>
      <c r="C577" s="35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</row>
    <row r="578">
      <c r="A578" s="35"/>
      <c r="B578" s="35"/>
      <c r="C578" s="35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</row>
    <row r="579">
      <c r="A579" s="35"/>
      <c r="B579" s="35"/>
      <c r="C579" s="35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</row>
    <row r="580">
      <c r="A580" s="35"/>
      <c r="B580" s="35"/>
      <c r="C580" s="35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</row>
    <row r="581">
      <c r="A581" s="35"/>
      <c r="B581" s="35"/>
      <c r="C581" s="35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</row>
    <row r="582">
      <c r="A582" s="35"/>
      <c r="B582" s="35"/>
      <c r="C582" s="35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</row>
    <row r="583">
      <c r="A583" s="35"/>
      <c r="B583" s="35"/>
      <c r="C583" s="35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</row>
    <row r="584">
      <c r="A584" s="35"/>
      <c r="B584" s="35"/>
      <c r="C584" s="35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</row>
    <row r="585">
      <c r="A585" s="35"/>
      <c r="B585" s="35"/>
      <c r="C585" s="35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</row>
    <row r="586">
      <c r="A586" s="35"/>
      <c r="B586" s="35"/>
      <c r="C586" s="35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</row>
    <row r="587">
      <c r="A587" s="35"/>
      <c r="B587" s="35"/>
      <c r="C587" s="35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</row>
    <row r="588">
      <c r="A588" s="35"/>
      <c r="B588" s="35"/>
      <c r="C588" s="35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</row>
    <row r="589">
      <c r="A589" s="35"/>
      <c r="B589" s="35"/>
      <c r="C589" s="35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</row>
    <row r="590">
      <c r="A590" s="35"/>
      <c r="B590" s="35"/>
      <c r="C590" s="35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</row>
    <row r="591">
      <c r="A591" s="35"/>
      <c r="B591" s="35"/>
      <c r="C591" s="35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</row>
    <row r="592">
      <c r="A592" s="35"/>
      <c r="B592" s="35"/>
      <c r="C592" s="35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</row>
    <row r="593">
      <c r="A593" s="35"/>
      <c r="B593" s="35"/>
      <c r="C593" s="35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</row>
    <row r="594">
      <c r="A594" s="35"/>
      <c r="B594" s="35"/>
      <c r="C594" s="35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</row>
    <row r="595">
      <c r="A595" s="35"/>
      <c r="B595" s="35"/>
      <c r="C595" s="35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</row>
    <row r="596">
      <c r="A596" s="35"/>
      <c r="B596" s="35"/>
      <c r="C596" s="35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</row>
    <row r="597">
      <c r="A597" s="35"/>
      <c r="B597" s="35"/>
      <c r="C597" s="35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</row>
    <row r="598">
      <c r="A598" s="35"/>
      <c r="B598" s="35"/>
      <c r="C598" s="35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</row>
    <row r="599">
      <c r="A599" s="35"/>
      <c r="B599" s="35"/>
      <c r="C599" s="35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</row>
    <row r="600">
      <c r="A600" s="35"/>
      <c r="B600" s="35"/>
      <c r="C600" s="35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</row>
    <row r="601">
      <c r="A601" s="35"/>
      <c r="B601" s="35"/>
      <c r="C601" s="35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</row>
    <row r="602">
      <c r="A602" s="35"/>
      <c r="B602" s="35"/>
      <c r="C602" s="35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</row>
    <row r="603">
      <c r="A603" s="35"/>
      <c r="B603" s="35"/>
      <c r="C603" s="35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</row>
    <row r="604">
      <c r="A604" s="35"/>
      <c r="B604" s="35"/>
      <c r="C604" s="35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</row>
    <row r="605">
      <c r="A605" s="35"/>
      <c r="B605" s="35"/>
      <c r="C605" s="35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</row>
    <row r="606">
      <c r="A606" s="35"/>
      <c r="B606" s="35"/>
      <c r="C606" s="35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</row>
    <row r="607">
      <c r="A607" s="35"/>
      <c r="B607" s="35"/>
      <c r="C607" s="35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</row>
    <row r="608">
      <c r="A608" s="35"/>
      <c r="B608" s="35"/>
      <c r="C608" s="35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</row>
    <row r="609">
      <c r="A609" s="35"/>
      <c r="B609" s="35"/>
      <c r="C609" s="35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</row>
    <row r="610">
      <c r="A610" s="35"/>
      <c r="B610" s="35"/>
      <c r="C610" s="35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</row>
    <row r="611">
      <c r="A611" s="35"/>
      <c r="B611" s="35"/>
      <c r="C611" s="35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</row>
    <row r="612">
      <c r="A612" s="35"/>
      <c r="B612" s="35"/>
      <c r="C612" s="35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</row>
    <row r="613">
      <c r="A613" s="35"/>
      <c r="B613" s="35"/>
      <c r="C613" s="35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</row>
    <row r="614">
      <c r="A614" s="35"/>
      <c r="B614" s="35"/>
      <c r="C614" s="35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</row>
    <row r="615">
      <c r="A615" s="35"/>
      <c r="B615" s="35"/>
      <c r="C615" s="35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</row>
    <row r="616">
      <c r="A616" s="35"/>
      <c r="B616" s="35"/>
      <c r="C616" s="35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</row>
    <row r="617">
      <c r="A617" s="35"/>
      <c r="B617" s="35"/>
      <c r="C617" s="35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</row>
    <row r="618">
      <c r="A618" s="35"/>
      <c r="B618" s="35"/>
      <c r="C618" s="35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</row>
    <row r="619">
      <c r="A619" s="35"/>
      <c r="B619" s="35"/>
      <c r="C619" s="35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</row>
    <row r="620">
      <c r="A620" s="35"/>
      <c r="B620" s="35"/>
      <c r="C620" s="35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</row>
    <row r="621">
      <c r="A621" s="35"/>
      <c r="B621" s="35"/>
      <c r="C621" s="35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</row>
    <row r="622">
      <c r="A622" s="35"/>
      <c r="B622" s="35"/>
      <c r="C622" s="35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</row>
    <row r="623">
      <c r="A623" s="35"/>
      <c r="B623" s="35"/>
      <c r="C623" s="35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</row>
    <row r="624">
      <c r="A624" s="35"/>
      <c r="B624" s="35"/>
      <c r="C624" s="35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</row>
    <row r="625">
      <c r="A625" s="35"/>
      <c r="B625" s="35"/>
      <c r="C625" s="35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</row>
    <row r="626">
      <c r="A626" s="35"/>
      <c r="B626" s="35"/>
      <c r="C626" s="35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</row>
    <row r="627">
      <c r="A627" s="35"/>
      <c r="B627" s="35"/>
      <c r="C627" s="35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</row>
    <row r="628">
      <c r="A628" s="35"/>
      <c r="B628" s="35"/>
      <c r="C628" s="35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</row>
    <row r="629">
      <c r="A629" s="35"/>
      <c r="B629" s="35"/>
      <c r="C629" s="35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</row>
    <row r="630">
      <c r="A630" s="35"/>
      <c r="B630" s="35"/>
      <c r="C630" s="35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</row>
    <row r="631">
      <c r="A631" s="35"/>
      <c r="B631" s="35"/>
      <c r="C631" s="35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</row>
    <row r="632">
      <c r="A632" s="35"/>
      <c r="B632" s="35"/>
      <c r="C632" s="35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</row>
    <row r="633">
      <c r="A633" s="35"/>
      <c r="B633" s="35"/>
      <c r="C633" s="35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</row>
    <row r="634">
      <c r="A634" s="35"/>
      <c r="B634" s="35"/>
      <c r="C634" s="35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</row>
    <row r="635">
      <c r="A635" s="35"/>
      <c r="B635" s="35"/>
      <c r="C635" s="35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</row>
    <row r="636">
      <c r="A636" s="35"/>
      <c r="B636" s="35"/>
      <c r="C636" s="35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</row>
    <row r="637">
      <c r="A637" s="35"/>
      <c r="B637" s="35"/>
      <c r="C637" s="35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</row>
    <row r="638">
      <c r="A638" s="35"/>
      <c r="B638" s="35"/>
      <c r="C638" s="35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</row>
    <row r="639">
      <c r="A639" s="35"/>
      <c r="B639" s="35"/>
      <c r="C639" s="35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</row>
    <row r="640">
      <c r="A640" s="35"/>
      <c r="B640" s="35"/>
      <c r="C640" s="35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</row>
    <row r="641">
      <c r="A641" s="35"/>
      <c r="B641" s="35"/>
      <c r="C641" s="35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</row>
    <row r="642">
      <c r="A642" s="35"/>
      <c r="B642" s="35"/>
      <c r="C642" s="35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</row>
    <row r="643">
      <c r="A643" s="35"/>
      <c r="B643" s="35"/>
      <c r="C643" s="35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</row>
    <row r="644">
      <c r="A644" s="35"/>
      <c r="B644" s="35"/>
      <c r="C644" s="35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</row>
    <row r="645">
      <c r="A645" s="35"/>
      <c r="B645" s="35"/>
      <c r="C645" s="35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</row>
    <row r="646">
      <c r="A646" s="35"/>
      <c r="B646" s="35"/>
      <c r="C646" s="35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</row>
    <row r="647">
      <c r="A647" s="35"/>
      <c r="B647" s="35"/>
      <c r="C647" s="35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</row>
    <row r="648">
      <c r="A648" s="35"/>
      <c r="B648" s="35"/>
      <c r="C648" s="35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</row>
    <row r="649">
      <c r="A649" s="35"/>
      <c r="B649" s="35"/>
      <c r="C649" s="35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</row>
    <row r="650">
      <c r="A650" s="35"/>
      <c r="B650" s="35"/>
      <c r="C650" s="35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</row>
    <row r="651">
      <c r="A651" s="35"/>
      <c r="B651" s="35"/>
      <c r="C651" s="35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</row>
    <row r="652">
      <c r="A652" s="35"/>
      <c r="B652" s="35"/>
      <c r="C652" s="35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</row>
    <row r="653">
      <c r="A653" s="35"/>
      <c r="B653" s="35"/>
      <c r="C653" s="35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</row>
    <row r="654">
      <c r="A654" s="35"/>
      <c r="B654" s="35"/>
      <c r="C654" s="35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</row>
    <row r="655">
      <c r="A655" s="35"/>
      <c r="B655" s="35"/>
      <c r="C655" s="35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</row>
    <row r="656">
      <c r="A656" s="35"/>
      <c r="B656" s="35"/>
      <c r="C656" s="35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</row>
    <row r="657">
      <c r="A657" s="35"/>
      <c r="B657" s="35"/>
      <c r="C657" s="35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</row>
    <row r="658">
      <c r="A658" s="35"/>
      <c r="B658" s="35"/>
      <c r="C658" s="35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</row>
    <row r="659">
      <c r="A659" s="35"/>
      <c r="B659" s="35"/>
      <c r="C659" s="35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</row>
    <row r="660">
      <c r="A660" s="35"/>
      <c r="B660" s="35"/>
      <c r="C660" s="35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</row>
    <row r="661">
      <c r="A661" s="35"/>
      <c r="B661" s="35"/>
      <c r="C661" s="35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</row>
    <row r="662">
      <c r="A662" s="35"/>
      <c r="B662" s="35"/>
      <c r="C662" s="35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</row>
    <row r="663">
      <c r="A663" s="35"/>
      <c r="B663" s="35"/>
      <c r="C663" s="35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</row>
    <row r="664">
      <c r="A664" s="35"/>
      <c r="B664" s="35"/>
      <c r="C664" s="35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</row>
    <row r="665">
      <c r="A665" s="35"/>
      <c r="B665" s="35"/>
      <c r="C665" s="35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</row>
    <row r="666">
      <c r="A666" s="35"/>
      <c r="B666" s="35"/>
      <c r="C666" s="35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</row>
    <row r="667">
      <c r="A667" s="35"/>
      <c r="B667" s="35"/>
      <c r="C667" s="35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</row>
    <row r="668">
      <c r="A668" s="35"/>
      <c r="B668" s="35"/>
      <c r="C668" s="35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</row>
    <row r="669">
      <c r="A669" s="35"/>
      <c r="B669" s="35"/>
      <c r="C669" s="35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</row>
    <row r="670">
      <c r="A670" s="35"/>
      <c r="B670" s="35"/>
      <c r="C670" s="35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</row>
    <row r="671">
      <c r="A671" s="35"/>
      <c r="B671" s="35"/>
      <c r="C671" s="35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</row>
    <row r="672">
      <c r="A672" s="35"/>
      <c r="B672" s="35"/>
      <c r="C672" s="35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</row>
    <row r="673">
      <c r="A673" s="35"/>
      <c r="B673" s="35"/>
      <c r="C673" s="35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</row>
    <row r="674">
      <c r="A674" s="35"/>
      <c r="B674" s="35"/>
      <c r="C674" s="35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</row>
    <row r="675">
      <c r="A675" s="35"/>
      <c r="B675" s="35"/>
      <c r="C675" s="35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</row>
    <row r="676">
      <c r="A676" s="35"/>
      <c r="B676" s="35"/>
      <c r="C676" s="35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</row>
    <row r="677">
      <c r="A677" s="35"/>
      <c r="B677" s="35"/>
      <c r="C677" s="35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</row>
    <row r="678">
      <c r="A678" s="35"/>
      <c r="B678" s="35"/>
      <c r="C678" s="35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</row>
    <row r="679">
      <c r="A679" s="35"/>
      <c r="B679" s="35"/>
      <c r="C679" s="35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</row>
    <row r="680">
      <c r="A680" s="35"/>
      <c r="B680" s="35"/>
      <c r="C680" s="35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</row>
    <row r="681">
      <c r="A681" s="35"/>
      <c r="B681" s="35"/>
      <c r="C681" s="35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</row>
    <row r="682">
      <c r="A682" s="35"/>
      <c r="B682" s="35"/>
      <c r="C682" s="35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</row>
    <row r="683">
      <c r="A683" s="35"/>
      <c r="B683" s="35"/>
      <c r="C683" s="35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</row>
    <row r="684">
      <c r="A684" s="35"/>
      <c r="B684" s="35"/>
      <c r="C684" s="35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</row>
    <row r="685">
      <c r="A685" s="35"/>
      <c r="B685" s="35"/>
      <c r="C685" s="35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</row>
    <row r="686">
      <c r="A686" s="35"/>
      <c r="B686" s="35"/>
      <c r="C686" s="35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</row>
    <row r="687">
      <c r="A687" s="35"/>
      <c r="B687" s="35"/>
      <c r="C687" s="35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</row>
    <row r="688">
      <c r="A688" s="35"/>
      <c r="B688" s="35"/>
      <c r="C688" s="35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</row>
    <row r="689">
      <c r="A689" s="35"/>
      <c r="B689" s="35"/>
      <c r="C689" s="35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</row>
    <row r="690">
      <c r="A690" s="35"/>
      <c r="B690" s="35"/>
      <c r="C690" s="35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</row>
    <row r="691">
      <c r="A691" s="35"/>
      <c r="B691" s="35"/>
      <c r="C691" s="35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</row>
    <row r="692">
      <c r="A692" s="35"/>
      <c r="B692" s="35"/>
      <c r="C692" s="35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</row>
    <row r="693">
      <c r="A693" s="35"/>
      <c r="B693" s="35"/>
      <c r="C693" s="35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</row>
    <row r="694">
      <c r="A694" s="35"/>
      <c r="B694" s="35"/>
      <c r="C694" s="35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</row>
    <row r="695">
      <c r="A695" s="35"/>
      <c r="B695" s="35"/>
      <c r="C695" s="35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</row>
    <row r="696">
      <c r="A696" s="35"/>
      <c r="B696" s="35"/>
      <c r="C696" s="35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</row>
    <row r="697">
      <c r="A697" s="35"/>
      <c r="B697" s="35"/>
      <c r="C697" s="35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</row>
    <row r="698">
      <c r="A698" s="35"/>
      <c r="B698" s="35"/>
      <c r="C698" s="35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</row>
    <row r="699">
      <c r="A699" s="35"/>
      <c r="B699" s="35"/>
      <c r="C699" s="35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</row>
    <row r="700">
      <c r="A700" s="35"/>
      <c r="B700" s="35"/>
      <c r="C700" s="35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</row>
    <row r="701">
      <c r="A701" s="35"/>
      <c r="B701" s="35"/>
      <c r="C701" s="35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</row>
    <row r="702">
      <c r="A702" s="35"/>
      <c r="B702" s="35"/>
      <c r="C702" s="35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</row>
    <row r="703">
      <c r="A703" s="35"/>
      <c r="B703" s="35"/>
      <c r="C703" s="35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</row>
    <row r="704">
      <c r="A704" s="35"/>
      <c r="B704" s="35"/>
      <c r="C704" s="35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</row>
    <row r="705">
      <c r="A705" s="35"/>
      <c r="B705" s="35"/>
      <c r="C705" s="35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</row>
    <row r="706">
      <c r="A706" s="35"/>
      <c r="B706" s="35"/>
      <c r="C706" s="35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</row>
    <row r="707">
      <c r="A707" s="35"/>
      <c r="B707" s="35"/>
      <c r="C707" s="35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</row>
    <row r="708">
      <c r="A708" s="35"/>
      <c r="B708" s="35"/>
      <c r="C708" s="35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</row>
    <row r="709">
      <c r="A709" s="35"/>
      <c r="B709" s="35"/>
      <c r="C709" s="35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</row>
    <row r="710">
      <c r="A710" s="35"/>
      <c r="B710" s="35"/>
      <c r="C710" s="35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</row>
    <row r="711">
      <c r="A711" s="35"/>
      <c r="B711" s="35"/>
      <c r="C711" s="35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</row>
    <row r="712">
      <c r="A712" s="35"/>
      <c r="B712" s="35"/>
      <c r="C712" s="35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</row>
    <row r="713">
      <c r="A713" s="35"/>
      <c r="B713" s="35"/>
      <c r="C713" s="35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</row>
    <row r="714">
      <c r="A714" s="35"/>
      <c r="B714" s="35"/>
      <c r="C714" s="35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</row>
    <row r="715">
      <c r="A715" s="35"/>
      <c r="B715" s="35"/>
      <c r="C715" s="35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</row>
    <row r="716">
      <c r="A716" s="35"/>
      <c r="B716" s="35"/>
      <c r="C716" s="35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</row>
    <row r="717">
      <c r="A717" s="35"/>
      <c r="B717" s="35"/>
      <c r="C717" s="35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</row>
    <row r="718">
      <c r="A718" s="35"/>
      <c r="B718" s="35"/>
      <c r="C718" s="35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</row>
    <row r="719">
      <c r="A719" s="35"/>
      <c r="B719" s="35"/>
      <c r="C719" s="35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</row>
    <row r="720">
      <c r="A720" s="35"/>
      <c r="B720" s="35"/>
      <c r="C720" s="35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</row>
    <row r="721">
      <c r="A721" s="35"/>
      <c r="B721" s="35"/>
      <c r="C721" s="35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</row>
    <row r="722">
      <c r="A722" s="35"/>
      <c r="B722" s="35"/>
      <c r="C722" s="35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</row>
    <row r="723">
      <c r="A723" s="35"/>
      <c r="B723" s="35"/>
      <c r="C723" s="35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</row>
    <row r="724">
      <c r="A724" s="35"/>
      <c r="B724" s="35"/>
      <c r="C724" s="35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</row>
    <row r="725">
      <c r="A725" s="35"/>
      <c r="B725" s="35"/>
      <c r="C725" s="35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</row>
    <row r="726">
      <c r="A726" s="35"/>
      <c r="B726" s="35"/>
      <c r="C726" s="35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</row>
    <row r="727">
      <c r="A727" s="35"/>
      <c r="B727" s="35"/>
      <c r="C727" s="35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</row>
    <row r="728">
      <c r="A728" s="35"/>
      <c r="B728" s="35"/>
      <c r="C728" s="35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</row>
    <row r="729">
      <c r="A729" s="35"/>
      <c r="B729" s="35"/>
      <c r="C729" s="35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</row>
    <row r="730">
      <c r="A730" s="35"/>
      <c r="B730" s="35"/>
      <c r="C730" s="35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</row>
    <row r="731">
      <c r="A731" s="35"/>
      <c r="B731" s="35"/>
      <c r="C731" s="35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</row>
    <row r="732">
      <c r="A732" s="35"/>
      <c r="B732" s="35"/>
      <c r="C732" s="35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</row>
    <row r="733">
      <c r="A733" s="35"/>
      <c r="B733" s="35"/>
      <c r="C733" s="35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</row>
    <row r="734">
      <c r="A734" s="35"/>
      <c r="B734" s="35"/>
      <c r="C734" s="35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</row>
    <row r="735">
      <c r="A735" s="35"/>
      <c r="B735" s="35"/>
      <c r="C735" s="35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</row>
    <row r="736">
      <c r="A736" s="35"/>
      <c r="B736" s="35"/>
      <c r="C736" s="35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</row>
    <row r="737">
      <c r="A737" s="35"/>
      <c r="B737" s="35"/>
      <c r="C737" s="35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</row>
    <row r="738">
      <c r="A738" s="35"/>
      <c r="B738" s="35"/>
      <c r="C738" s="35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</row>
    <row r="739">
      <c r="A739" s="35"/>
      <c r="B739" s="35"/>
      <c r="C739" s="35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</row>
    <row r="740">
      <c r="A740" s="35"/>
      <c r="B740" s="35"/>
      <c r="C740" s="35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</row>
    <row r="741">
      <c r="A741" s="35"/>
      <c r="B741" s="35"/>
      <c r="C741" s="35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</row>
    <row r="742">
      <c r="A742" s="35"/>
      <c r="B742" s="35"/>
      <c r="C742" s="35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</row>
    <row r="743">
      <c r="A743" s="35"/>
      <c r="B743" s="35"/>
      <c r="C743" s="35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</row>
    <row r="744">
      <c r="A744" s="35"/>
      <c r="B744" s="35"/>
      <c r="C744" s="35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</row>
    <row r="745">
      <c r="A745" s="35"/>
      <c r="B745" s="35"/>
      <c r="C745" s="35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</row>
    <row r="746">
      <c r="A746" s="35"/>
      <c r="B746" s="35"/>
      <c r="C746" s="35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</row>
    <row r="747">
      <c r="A747" s="35"/>
      <c r="B747" s="35"/>
      <c r="C747" s="35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</row>
    <row r="748">
      <c r="A748" s="35"/>
      <c r="B748" s="35"/>
      <c r="C748" s="35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</row>
    <row r="749">
      <c r="A749" s="35"/>
      <c r="B749" s="35"/>
      <c r="C749" s="35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</row>
    <row r="750">
      <c r="A750" s="35"/>
      <c r="B750" s="35"/>
      <c r="C750" s="35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</row>
    <row r="751">
      <c r="A751" s="35"/>
      <c r="B751" s="35"/>
      <c r="C751" s="35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</row>
    <row r="752">
      <c r="A752" s="35"/>
      <c r="B752" s="35"/>
      <c r="C752" s="35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</row>
    <row r="753">
      <c r="A753" s="35"/>
      <c r="B753" s="35"/>
      <c r="C753" s="35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</row>
    <row r="754">
      <c r="A754" s="35"/>
      <c r="B754" s="35"/>
      <c r="C754" s="35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</row>
    <row r="755">
      <c r="A755" s="35"/>
      <c r="B755" s="35"/>
      <c r="C755" s="35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</row>
    <row r="756">
      <c r="A756" s="35"/>
      <c r="B756" s="35"/>
      <c r="C756" s="35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</row>
    <row r="757">
      <c r="A757" s="35"/>
      <c r="B757" s="35"/>
      <c r="C757" s="35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</row>
    <row r="758">
      <c r="A758" s="35"/>
      <c r="B758" s="35"/>
      <c r="C758" s="35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</row>
    <row r="759">
      <c r="A759" s="35"/>
      <c r="B759" s="35"/>
      <c r="C759" s="35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</row>
    <row r="760">
      <c r="A760" s="35"/>
      <c r="B760" s="35"/>
      <c r="C760" s="35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</row>
    <row r="761">
      <c r="A761" s="35"/>
      <c r="B761" s="35"/>
      <c r="C761" s="35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</row>
    <row r="762">
      <c r="A762" s="35"/>
      <c r="B762" s="35"/>
      <c r="C762" s="35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</row>
    <row r="763">
      <c r="A763" s="35"/>
      <c r="B763" s="35"/>
      <c r="C763" s="35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</row>
    <row r="764">
      <c r="A764" s="35"/>
      <c r="B764" s="35"/>
      <c r="C764" s="35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</row>
    <row r="765">
      <c r="A765" s="35"/>
      <c r="B765" s="35"/>
      <c r="C765" s="35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</row>
    <row r="766">
      <c r="A766" s="35"/>
      <c r="B766" s="35"/>
      <c r="C766" s="35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</row>
    <row r="767">
      <c r="A767" s="35"/>
      <c r="B767" s="35"/>
      <c r="C767" s="35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</row>
    <row r="768">
      <c r="A768" s="35"/>
      <c r="B768" s="35"/>
      <c r="C768" s="35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</row>
    <row r="769">
      <c r="A769" s="35"/>
      <c r="B769" s="35"/>
      <c r="C769" s="35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</row>
    <row r="770">
      <c r="A770" s="35"/>
      <c r="B770" s="35"/>
      <c r="C770" s="35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</row>
    <row r="771">
      <c r="A771" s="35"/>
      <c r="B771" s="35"/>
      <c r="C771" s="35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</row>
    <row r="772">
      <c r="A772" s="35"/>
      <c r="B772" s="35"/>
      <c r="C772" s="35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</row>
    <row r="773">
      <c r="A773" s="35"/>
      <c r="B773" s="35"/>
      <c r="C773" s="35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</row>
    <row r="774">
      <c r="A774" s="35"/>
      <c r="B774" s="35"/>
      <c r="C774" s="35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</row>
    <row r="775">
      <c r="A775" s="35"/>
      <c r="B775" s="35"/>
      <c r="C775" s="35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</row>
    <row r="776">
      <c r="A776" s="35"/>
      <c r="B776" s="35"/>
      <c r="C776" s="35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</row>
    <row r="777">
      <c r="A777" s="35"/>
      <c r="B777" s="35"/>
      <c r="C777" s="35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</row>
    <row r="778">
      <c r="A778" s="35"/>
      <c r="B778" s="35"/>
      <c r="C778" s="35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</row>
    <row r="779">
      <c r="A779" s="35"/>
      <c r="B779" s="35"/>
      <c r="C779" s="35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</row>
    <row r="780">
      <c r="A780" s="35"/>
      <c r="B780" s="35"/>
      <c r="C780" s="35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</row>
    <row r="781">
      <c r="A781" s="35"/>
      <c r="B781" s="35"/>
      <c r="C781" s="35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</row>
    <row r="782">
      <c r="A782" s="35"/>
      <c r="B782" s="35"/>
      <c r="C782" s="35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</row>
    <row r="783">
      <c r="A783" s="35"/>
      <c r="B783" s="35"/>
      <c r="C783" s="35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</row>
    <row r="784">
      <c r="A784" s="35"/>
      <c r="B784" s="35"/>
      <c r="C784" s="35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</row>
    <row r="785">
      <c r="A785" s="35"/>
      <c r="B785" s="35"/>
      <c r="C785" s="35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</row>
    <row r="786">
      <c r="A786" s="35"/>
      <c r="B786" s="35"/>
      <c r="C786" s="35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</row>
    <row r="787">
      <c r="A787" s="35"/>
      <c r="B787" s="35"/>
      <c r="C787" s="35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</row>
    <row r="788">
      <c r="A788" s="35"/>
      <c r="B788" s="35"/>
      <c r="C788" s="35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</row>
    <row r="789">
      <c r="A789" s="35"/>
      <c r="B789" s="35"/>
      <c r="C789" s="35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</row>
    <row r="790">
      <c r="A790" s="35"/>
      <c r="B790" s="35"/>
      <c r="C790" s="35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</row>
    <row r="791">
      <c r="A791" s="35"/>
      <c r="B791" s="35"/>
      <c r="C791" s="35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</row>
    <row r="792">
      <c r="A792" s="35"/>
      <c r="B792" s="35"/>
      <c r="C792" s="35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</row>
    <row r="793">
      <c r="A793" s="35"/>
      <c r="B793" s="35"/>
      <c r="C793" s="35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</row>
    <row r="794">
      <c r="A794" s="35"/>
      <c r="B794" s="35"/>
      <c r="C794" s="35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</row>
    <row r="795">
      <c r="A795" s="35"/>
      <c r="B795" s="35"/>
      <c r="C795" s="35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</row>
    <row r="796">
      <c r="A796" s="35"/>
      <c r="B796" s="35"/>
      <c r="C796" s="35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</row>
    <row r="797">
      <c r="A797" s="35"/>
      <c r="B797" s="35"/>
      <c r="C797" s="35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</row>
    <row r="798">
      <c r="A798" s="35"/>
      <c r="B798" s="35"/>
      <c r="C798" s="35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</row>
    <row r="799">
      <c r="A799" s="35"/>
      <c r="B799" s="35"/>
      <c r="C799" s="35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</row>
    <row r="800">
      <c r="A800" s="35"/>
      <c r="B800" s="35"/>
      <c r="C800" s="35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</row>
    <row r="801">
      <c r="A801" s="35"/>
      <c r="B801" s="35"/>
      <c r="C801" s="35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</row>
    <row r="802">
      <c r="A802" s="35"/>
      <c r="B802" s="35"/>
      <c r="C802" s="35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</row>
    <row r="803">
      <c r="A803" s="35"/>
      <c r="B803" s="35"/>
      <c r="C803" s="35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</row>
    <row r="804">
      <c r="A804" s="35"/>
      <c r="B804" s="35"/>
      <c r="C804" s="35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</row>
    <row r="805">
      <c r="A805" s="35"/>
      <c r="B805" s="35"/>
      <c r="C805" s="35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</row>
    <row r="806">
      <c r="A806" s="35"/>
      <c r="B806" s="35"/>
      <c r="C806" s="35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</row>
    <row r="807">
      <c r="A807" s="35"/>
      <c r="B807" s="35"/>
      <c r="C807" s="35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</row>
    <row r="808">
      <c r="A808" s="35"/>
      <c r="B808" s="35"/>
      <c r="C808" s="35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</row>
    <row r="809">
      <c r="A809" s="35"/>
      <c r="B809" s="35"/>
      <c r="C809" s="35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</row>
    <row r="810">
      <c r="A810" s="35"/>
      <c r="B810" s="35"/>
      <c r="C810" s="35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</row>
    <row r="811">
      <c r="A811" s="35"/>
      <c r="B811" s="35"/>
      <c r="C811" s="35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</row>
    <row r="812">
      <c r="A812" s="35"/>
      <c r="B812" s="35"/>
      <c r="C812" s="35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</row>
    <row r="813">
      <c r="A813" s="35"/>
      <c r="B813" s="35"/>
      <c r="C813" s="35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</row>
    <row r="814">
      <c r="A814" s="35"/>
      <c r="B814" s="35"/>
      <c r="C814" s="35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</row>
    <row r="815">
      <c r="A815" s="35"/>
      <c r="B815" s="35"/>
      <c r="C815" s="35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</row>
    <row r="816">
      <c r="A816" s="35"/>
      <c r="B816" s="35"/>
      <c r="C816" s="35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</row>
    <row r="817">
      <c r="A817" s="35"/>
      <c r="B817" s="35"/>
      <c r="C817" s="35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</row>
    <row r="818">
      <c r="A818" s="35"/>
      <c r="B818" s="35"/>
      <c r="C818" s="35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</row>
    <row r="819">
      <c r="A819" s="35"/>
      <c r="B819" s="35"/>
      <c r="C819" s="35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</row>
    <row r="820">
      <c r="A820" s="35"/>
      <c r="B820" s="35"/>
      <c r="C820" s="35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</row>
    <row r="821">
      <c r="A821" s="35"/>
      <c r="B821" s="35"/>
      <c r="C821" s="35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</row>
    <row r="822">
      <c r="A822" s="35"/>
      <c r="B822" s="35"/>
      <c r="C822" s="35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</row>
    <row r="823">
      <c r="A823" s="35"/>
      <c r="B823" s="35"/>
      <c r="C823" s="35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</row>
    <row r="824">
      <c r="A824" s="35"/>
      <c r="B824" s="35"/>
      <c r="C824" s="35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</row>
    <row r="825">
      <c r="A825" s="35"/>
      <c r="B825" s="35"/>
      <c r="C825" s="35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</row>
    <row r="826">
      <c r="A826" s="35"/>
      <c r="B826" s="35"/>
      <c r="C826" s="35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</row>
    <row r="827">
      <c r="A827" s="35"/>
      <c r="B827" s="35"/>
      <c r="C827" s="35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</row>
    <row r="828">
      <c r="A828" s="35"/>
      <c r="B828" s="35"/>
      <c r="C828" s="35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</row>
    <row r="829">
      <c r="A829" s="35"/>
      <c r="B829" s="35"/>
      <c r="C829" s="35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</row>
    <row r="830">
      <c r="A830" s="35"/>
      <c r="B830" s="35"/>
      <c r="C830" s="35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</row>
    <row r="831">
      <c r="A831" s="35"/>
      <c r="B831" s="35"/>
      <c r="C831" s="35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</row>
    <row r="832">
      <c r="A832" s="35"/>
      <c r="B832" s="35"/>
      <c r="C832" s="35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</row>
    <row r="833">
      <c r="A833" s="35"/>
      <c r="B833" s="35"/>
      <c r="C833" s="35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</row>
    <row r="834">
      <c r="A834" s="35"/>
      <c r="B834" s="35"/>
      <c r="C834" s="35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</row>
    <row r="835">
      <c r="A835" s="35"/>
      <c r="B835" s="35"/>
      <c r="C835" s="35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</row>
    <row r="836">
      <c r="A836" s="35"/>
      <c r="B836" s="35"/>
      <c r="C836" s="35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</row>
    <row r="837">
      <c r="A837" s="35"/>
      <c r="B837" s="35"/>
      <c r="C837" s="35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</row>
    <row r="838">
      <c r="A838" s="35"/>
      <c r="B838" s="35"/>
      <c r="C838" s="35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</row>
    <row r="839">
      <c r="A839" s="35"/>
      <c r="B839" s="35"/>
      <c r="C839" s="35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</row>
    <row r="840">
      <c r="A840" s="35"/>
      <c r="B840" s="35"/>
      <c r="C840" s="35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</row>
    <row r="841">
      <c r="A841" s="35"/>
      <c r="B841" s="35"/>
      <c r="C841" s="35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</row>
    <row r="842">
      <c r="A842" s="35"/>
      <c r="B842" s="35"/>
      <c r="C842" s="35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</row>
    <row r="843">
      <c r="A843" s="35"/>
      <c r="B843" s="35"/>
      <c r="C843" s="35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</row>
    <row r="844">
      <c r="A844" s="35"/>
      <c r="B844" s="35"/>
      <c r="C844" s="35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</row>
    <row r="845">
      <c r="A845" s="35"/>
      <c r="B845" s="35"/>
      <c r="C845" s="35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</row>
    <row r="846">
      <c r="A846" s="35"/>
      <c r="B846" s="35"/>
      <c r="C846" s="35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</row>
    <row r="847">
      <c r="A847" s="35"/>
      <c r="B847" s="35"/>
      <c r="C847" s="35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</row>
    <row r="848">
      <c r="A848" s="35"/>
      <c r="B848" s="35"/>
      <c r="C848" s="35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</row>
    <row r="849">
      <c r="A849" s="35"/>
      <c r="B849" s="35"/>
      <c r="C849" s="35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</row>
    <row r="850">
      <c r="A850" s="35"/>
      <c r="B850" s="35"/>
      <c r="C850" s="35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</row>
    <row r="851">
      <c r="A851" s="35"/>
      <c r="B851" s="35"/>
      <c r="C851" s="35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</row>
    <row r="852">
      <c r="A852" s="35"/>
      <c r="B852" s="35"/>
      <c r="C852" s="35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</row>
    <row r="853">
      <c r="A853" s="35"/>
      <c r="B853" s="35"/>
      <c r="C853" s="35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</row>
    <row r="854">
      <c r="A854" s="35"/>
      <c r="B854" s="35"/>
      <c r="C854" s="35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</row>
    <row r="855">
      <c r="A855" s="35"/>
      <c r="B855" s="35"/>
      <c r="C855" s="35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</row>
    <row r="856">
      <c r="A856" s="35"/>
      <c r="B856" s="35"/>
      <c r="C856" s="35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</row>
    <row r="857">
      <c r="A857" s="35"/>
      <c r="B857" s="35"/>
      <c r="C857" s="35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</row>
    <row r="858">
      <c r="A858" s="35"/>
      <c r="B858" s="35"/>
      <c r="C858" s="35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</row>
    <row r="859">
      <c r="A859" s="35"/>
      <c r="B859" s="35"/>
      <c r="C859" s="35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</row>
    <row r="860">
      <c r="A860" s="35"/>
      <c r="B860" s="35"/>
      <c r="C860" s="35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</row>
    <row r="861">
      <c r="A861" s="35"/>
      <c r="B861" s="35"/>
      <c r="C861" s="35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</row>
    <row r="862">
      <c r="A862" s="35"/>
      <c r="B862" s="35"/>
      <c r="C862" s="35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</row>
    <row r="863">
      <c r="A863" s="35"/>
      <c r="B863" s="35"/>
      <c r="C863" s="35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</row>
    <row r="864">
      <c r="A864" s="35"/>
      <c r="B864" s="35"/>
      <c r="C864" s="35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</row>
    <row r="865">
      <c r="A865" s="35"/>
      <c r="B865" s="35"/>
      <c r="C865" s="35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</row>
    <row r="866">
      <c r="A866" s="35"/>
      <c r="B866" s="35"/>
      <c r="C866" s="35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</row>
    <row r="867">
      <c r="A867" s="35"/>
      <c r="B867" s="35"/>
      <c r="C867" s="35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</row>
    <row r="868">
      <c r="A868" s="35"/>
      <c r="B868" s="35"/>
      <c r="C868" s="35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</row>
    <row r="869">
      <c r="A869" s="35"/>
      <c r="B869" s="35"/>
      <c r="C869" s="35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</row>
    <row r="870">
      <c r="A870" s="35"/>
      <c r="B870" s="35"/>
      <c r="C870" s="35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</row>
    <row r="871">
      <c r="A871" s="35"/>
      <c r="B871" s="35"/>
      <c r="C871" s="35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</row>
    <row r="872">
      <c r="A872" s="35"/>
      <c r="B872" s="35"/>
      <c r="C872" s="35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</row>
    <row r="873">
      <c r="A873" s="35"/>
      <c r="B873" s="35"/>
      <c r="C873" s="35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</row>
    <row r="874">
      <c r="A874" s="35"/>
      <c r="B874" s="35"/>
      <c r="C874" s="35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</row>
    <row r="875">
      <c r="A875" s="35"/>
      <c r="B875" s="35"/>
      <c r="C875" s="35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</row>
    <row r="876">
      <c r="A876" s="35"/>
      <c r="B876" s="35"/>
      <c r="C876" s="35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</row>
    <row r="877">
      <c r="A877" s="35"/>
      <c r="B877" s="35"/>
      <c r="C877" s="35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</row>
    <row r="878">
      <c r="A878" s="35"/>
      <c r="B878" s="35"/>
      <c r="C878" s="35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</row>
    <row r="879">
      <c r="A879" s="35"/>
      <c r="B879" s="35"/>
      <c r="C879" s="35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</row>
    <row r="880">
      <c r="A880" s="35"/>
      <c r="B880" s="35"/>
      <c r="C880" s="35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</row>
    <row r="881">
      <c r="A881" s="35"/>
      <c r="B881" s="35"/>
      <c r="C881" s="35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</row>
    <row r="882">
      <c r="A882" s="35"/>
      <c r="B882" s="35"/>
      <c r="C882" s="35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</row>
    <row r="883">
      <c r="A883" s="35"/>
      <c r="B883" s="35"/>
      <c r="C883" s="35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</row>
    <row r="884">
      <c r="A884" s="35"/>
      <c r="B884" s="35"/>
      <c r="C884" s="35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</row>
    <row r="885">
      <c r="A885" s="35"/>
      <c r="B885" s="35"/>
      <c r="C885" s="35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</row>
    <row r="886">
      <c r="A886" s="35"/>
      <c r="B886" s="35"/>
      <c r="C886" s="35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</row>
    <row r="887">
      <c r="A887" s="35"/>
      <c r="B887" s="35"/>
      <c r="C887" s="35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</row>
    <row r="888">
      <c r="A888" s="35"/>
      <c r="B888" s="35"/>
      <c r="C888" s="35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</row>
    <row r="889">
      <c r="A889" s="35"/>
      <c r="B889" s="35"/>
      <c r="C889" s="35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</row>
    <row r="890">
      <c r="A890" s="35"/>
      <c r="B890" s="35"/>
      <c r="C890" s="35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</row>
    <row r="891">
      <c r="A891" s="35"/>
      <c r="B891" s="35"/>
      <c r="C891" s="35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</row>
    <row r="892">
      <c r="A892" s="35"/>
      <c r="B892" s="35"/>
      <c r="C892" s="35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</row>
    <row r="893">
      <c r="A893" s="35"/>
      <c r="B893" s="35"/>
      <c r="C893" s="35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</row>
    <row r="894">
      <c r="A894" s="35"/>
      <c r="B894" s="35"/>
      <c r="C894" s="35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</row>
    <row r="895">
      <c r="A895" s="35"/>
      <c r="B895" s="35"/>
      <c r="C895" s="35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</row>
    <row r="896">
      <c r="A896" s="35"/>
      <c r="B896" s="35"/>
      <c r="C896" s="35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</row>
    <row r="897">
      <c r="A897" s="35"/>
      <c r="B897" s="35"/>
      <c r="C897" s="35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</row>
    <row r="898">
      <c r="A898" s="35"/>
      <c r="B898" s="35"/>
      <c r="C898" s="35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</row>
    <row r="899">
      <c r="A899" s="35"/>
      <c r="B899" s="35"/>
      <c r="C899" s="35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</row>
    <row r="900">
      <c r="A900" s="35"/>
      <c r="B900" s="35"/>
      <c r="C900" s="35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</row>
    <row r="901">
      <c r="A901" s="35"/>
      <c r="B901" s="35"/>
      <c r="C901" s="35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</row>
    <row r="902">
      <c r="A902" s="35"/>
      <c r="B902" s="35"/>
      <c r="C902" s="35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</row>
    <row r="903">
      <c r="A903" s="35"/>
      <c r="B903" s="35"/>
      <c r="C903" s="35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</row>
    <row r="904">
      <c r="A904" s="35"/>
      <c r="B904" s="35"/>
      <c r="C904" s="35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</row>
    <row r="905">
      <c r="A905" s="35"/>
      <c r="B905" s="35"/>
      <c r="C905" s="35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</row>
    <row r="906">
      <c r="A906" s="35"/>
      <c r="B906" s="35"/>
      <c r="C906" s="35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</row>
    <row r="907">
      <c r="A907" s="35"/>
      <c r="B907" s="35"/>
      <c r="C907" s="35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</row>
    <row r="908">
      <c r="A908" s="35"/>
      <c r="B908" s="35"/>
      <c r="C908" s="35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</row>
    <row r="909">
      <c r="A909" s="35"/>
      <c r="B909" s="35"/>
      <c r="C909" s="35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</row>
    <row r="910">
      <c r="A910" s="35"/>
      <c r="B910" s="35"/>
      <c r="C910" s="35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</row>
    <row r="911">
      <c r="A911" s="35"/>
      <c r="B911" s="35"/>
      <c r="C911" s="35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</row>
    <row r="912">
      <c r="A912" s="35"/>
      <c r="B912" s="35"/>
      <c r="C912" s="35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</row>
    <row r="913">
      <c r="A913" s="35"/>
      <c r="B913" s="35"/>
      <c r="C913" s="35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</row>
    <row r="914">
      <c r="A914" s="35"/>
      <c r="B914" s="35"/>
      <c r="C914" s="35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</row>
    <row r="915">
      <c r="A915" s="35"/>
      <c r="B915" s="35"/>
      <c r="C915" s="35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</row>
    <row r="916">
      <c r="A916" s="35"/>
      <c r="B916" s="35"/>
      <c r="C916" s="35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</row>
    <row r="917">
      <c r="A917" s="35"/>
      <c r="B917" s="35"/>
      <c r="C917" s="35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</row>
    <row r="918">
      <c r="A918" s="35"/>
      <c r="B918" s="35"/>
      <c r="C918" s="35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</row>
    <row r="919">
      <c r="A919" s="35"/>
      <c r="B919" s="35"/>
      <c r="C919" s="35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</row>
    <row r="920">
      <c r="A920" s="35"/>
      <c r="B920" s="35"/>
      <c r="C920" s="35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</row>
    <row r="921">
      <c r="A921" s="35"/>
      <c r="B921" s="35"/>
      <c r="C921" s="35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</row>
    <row r="922">
      <c r="A922" s="35"/>
      <c r="B922" s="35"/>
      <c r="C922" s="35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</row>
    <row r="923">
      <c r="A923" s="35"/>
      <c r="B923" s="35"/>
      <c r="C923" s="35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</row>
    <row r="924">
      <c r="A924" s="35"/>
      <c r="B924" s="35"/>
      <c r="C924" s="35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</row>
    <row r="925">
      <c r="A925" s="35"/>
      <c r="B925" s="35"/>
      <c r="C925" s="35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</row>
    <row r="926">
      <c r="A926" s="35"/>
      <c r="B926" s="35"/>
      <c r="C926" s="35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</row>
    <row r="927">
      <c r="A927" s="35"/>
      <c r="B927" s="35"/>
      <c r="C927" s="35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</row>
    <row r="928">
      <c r="A928" s="35"/>
      <c r="B928" s="35"/>
      <c r="C928" s="35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</row>
    <row r="929">
      <c r="A929" s="35"/>
      <c r="B929" s="35"/>
      <c r="C929" s="35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</row>
    <row r="930">
      <c r="A930" s="35"/>
      <c r="B930" s="35"/>
      <c r="C930" s="35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</row>
    <row r="931">
      <c r="A931" s="35"/>
      <c r="B931" s="35"/>
      <c r="C931" s="35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</row>
    <row r="932">
      <c r="A932" s="35"/>
      <c r="B932" s="35"/>
      <c r="C932" s="35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</row>
    <row r="933">
      <c r="A933" s="35"/>
      <c r="B933" s="35"/>
      <c r="C933" s="35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</row>
    <row r="934">
      <c r="A934" s="35"/>
      <c r="B934" s="35"/>
      <c r="C934" s="35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</row>
    <row r="935">
      <c r="A935" s="35"/>
      <c r="B935" s="35"/>
      <c r="C935" s="35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</row>
    <row r="936">
      <c r="A936" s="35"/>
      <c r="B936" s="35"/>
      <c r="C936" s="35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</row>
    <row r="937">
      <c r="A937" s="35"/>
      <c r="B937" s="35"/>
      <c r="C937" s="35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</row>
    <row r="938">
      <c r="A938" s="35"/>
      <c r="B938" s="35"/>
      <c r="C938" s="35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</row>
    <row r="939">
      <c r="A939" s="35"/>
      <c r="B939" s="35"/>
      <c r="C939" s="35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</row>
    <row r="940">
      <c r="A940" s="35"/>
      <c r="B940" s="35"/>
      <c r="C940" s="35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</row>
    <row r="941">
      <c r="A941" s="35"/>
      <c r="B941" s="35"/>
      <c r="C941" s="35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</row>
    <row r="942">
      <c r="A942" s="35"/>
      <c r="B942" s="35"/>
      <c r="C942" s="35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</row>
    <row r="943">
      <c r="A943" s="35"/>
      <c r="B943" s="35"/>
      <c r="C943" s="35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</row>
    <row r="944">
      <c r="A944" s="35"/>
      <c r="B944" s="35"/>
      <c r="C944" s="35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</row>
    <row r="945">
      <c r="A945" s="35"/>
      <c r="B945" s="35"/>
      <c r="C945" s="35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</row>
    <row r="946">
      <c r="A946" s="35"/>
      <c r="B946" s="35"/>
      <c r="C946" s="35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</row>
    <row r="947">
      <c r="A947" s="35"/>
      <c r="B947" s="35"/>
      <c r="C947" s="35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</row>
    <row r="948">
      <c r="A948" s="35"/>
      <c r="B948" s="35"/>
      <c r="C948" s="35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</row>
    <row r="949">
      <c r="A949" s="35"/>
      <c r="B949" s="35"/>
      <c r="C949" s="35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</row>
    <row r="950">
      <c r="A950" s="35"/>
      <c r="B950" s="35"/>
      <c r="C950" s="35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</row>
    <row r="951">
      <c r="A951" s="35"/>
      <c r="B951" s="35"/>
      <c r="C951" s="35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</row>
    <row r="952">
      <c r="A952" s="35"/>
      <c r="B952" s="35"/>
      <c r="C952" s="35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</row>
    <row r="953">
      <c r="A953" s="35"/>
      <c r="B953" s="35"/>
      <c r="C953" s="35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</row>
    <row r="954">
      <c r="A954" s="35"/>
      <c r="B954" s="35"/>
      <c r="C954" s="35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</row>
    <row r="955">
      <c r="A955" s="35"/>
      <c r="B955" s="35"/>
      <c r="C955" s="35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</row>
    <row r="956">
      <c r="A956" s="35"/>
      <c r="B956" s="35"/>
      <c r="C956" s="35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</row>
    <row r="957">
      <c r="A957" s="35"/>
      <c r="B957" s="35"/>
      <c r="C957" s="35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</row>
    <row r="958">
      <c r="A958" s="35"/>
      <c r="B958" s="35"/>
      <c r="C958" s="35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</row>
    <row r="959">
      <c r="A959" s="35"/>
      <c r="B959" s="35"/>
      <c r="C959" s="35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</row>
    <row r="960">
      <c r="A960" s="35"/>
      <c r="B960" s="35"/>
      <c r="C960" s="35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</row>
    <row r="961">
      <c r="A961" s="35"/>
      <c r="B961" s="35"/>
      <c r="C961" s="35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</row>
    <row r="962">
      <c r="A962" s="35"/>
      <c r="B962" s="35"/>
      <c r="C962" s="35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</row>
    <row r="963">
      <c r="A963" s="35"/>
      <c r="B963" s="35"/>
      <c r="C963" s="35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</row>
    <row r="964">
      <c r="A964" s="35"/>
      <c r="B964" s="35"/>
      <c r="C964" s="35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</row>
    <row r="965">
      <c r="A965" s="35"/>
      <c r="B965" s="35"/>
      <c r="C965" s="35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</row>
    <row r="966">
      <c r="A966" s="35"/>
      <c r="B966" s="35"/>
      <c r="C966" s="35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</row>
    <row r="967">
      <c r="A967" s="35"/>
      <c r="B967" s="35"/>
      <c r="C967" s="35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</row>
    <row r="968">
      <c r="A968" s="35"/>
      <c r="B968" s="35"/>
      <c r="C968" s="35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</row>
    <row r="969">
      <c r="A969" s="35"/>
      <c r="B969" s="35"/>
      <c r="C969" s="35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</row>
    <row r="970">
      <c r="A970" s="35"/>
      <c r="B970" s="35"/>
      <c r="C970" s="35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</row>
    <row r="971">
      <c r="A971" s="35"/>
      <c r="B971" s="35"/>
      <c r="C971" s="35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</row>
  </sheetData>
  <mergeCells count="24">
    <mergeCell ref="K5:K6"/>
    <mergeCell ref="L5:L6"/>
    <mergeCell ref="M5:M6"/>
    <mergeCell ref="N5:N6"/>
    <mergeCell ref="B1:O4"/>
    <mergeCell ref="A5:A6"/>
    <mergeCell ref="B5:B6"/>
    <mergeCell ref="C5:C6"/>
    <mergeCell ref="D5:D6"/>
    <mergeCell ref="J5:J6"/>
    <mergeCell ref="O5:O6"/>
    <mergeCell ref="J30:J31"/>
    <mergeCell ref="K30:K31"/>
    <mergeCell ref="L30:L31"/>
    <mergeCell ref="M30:M31"/>
    <mergeCell ref="N30:N31"/>
    <mergeCell ref="O30:O31"/>
    <mergeCell ref="E5:I5"/>
    <mergeCell ref="B26:O29"/>
    <mergeCell ref="A30:A31"/>
    <mergeCell ref="B30:B31"/>
    <mergeCell ref="C30:C31"/>
    <mergeCell ref="D30:D31"/>
    <mergeCell ref="E30:I30"/>
  </mergeCells>
  <conditionalFormatting sqref="K7:K24 M7:M24 K32:K49 M32:M49">
    <cfRule type="cellIs" dxfId="0" priority="1" operator="between">
      <formula>"0%"</formula>
      <formula>"79.99%"</formula>
    </cfRule>
  </conditionalFormatting>
  <conditionalFormatting sqref="K7:K24 M7:M24 K32:K49 M32:M49">
    <cfRule type="cellIs" dxfId="1" priority="2" operator="between">
      <formula>"80%"</formula>
      <formula>"99.99%"</formula>
    </cfRule>
  </conditionalFormatting>
  <conditionalFormatting sqref="K7:K24 M7:M24 K32:K49 M32:M49">
    <cfRule type="cellIs" dxfId="2" priority="3" operator="between">
      <formula>"100%"</formula>
      <formula>"500%"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5.13"/>
    <col customWidth="1" min="3" max="3" width="22.88"/>
    <col customWidth="1" min="4" max="5" width="15.13"/>
    <col customWidth="1" min="13" max="13" width="13.63"/>
    <col customWidth="1" min="16" max="16" width="24.0"/>
  </cols>
  <sheetData>
    <row r="1" ht="14.25" customHeight="1">
      <c r="A1" s="69" t="s">
        <v>0</v>
      </c>
      <c r="B1" s="42" t="s">
        <v>78</v>
      </c>
    </row>
    <row r="2" ht="11.25" customHeight="1">
      <c r="A2" s="3"/>
    </row>
    <row r="3">
      <c r="A3" s="3"/>
    </row>
    <row r="4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>
      <c r="A5" s="5" t="s">
        <v>2</v>
      </c>
      <c r="B5" s="5" t="s">
        <v>3</v>
      </c>
      <c r="C5" s="5" t="s">
        <v>4</v>
      </c>
      <c r="D5" s="6" t="s">
        <v>5</v>
      </c>
      <c r="E5" s="7" t="s">
        <v>6</v>
      </c>
      <c r="F5" s="4"/>
      <c r="G5" s="4"/>
      <c r="H5" s="4"/>
      <c r="I5" s="8"/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12</v>
      </c>
    </row>
    <row r="6">
      <c r="A6" s="8"/>
      <c r="B6" s="8"/>
      <c r="C6" s="8"/>
      <c r="D6" s="8"/>
      <c r="E6" s="9" t="s">
        <v>13</v>
      </c>
      <c r="F6" s="9" t="s">
        <v>14</v>
      </c>
      <c r="G6" s="9" t="s">
        <v>15</v>
      </c>
      <c r="H6" s="9" t="s">
        <v>16</v>
      </c>
      <c r="I6" s="9" t="s">
        <v>17</v>
      </c>
      <c r="J6" s="8"/>
      <c r="K6" s="8"/>
      <c r="L6" s="8"/>
      <c r="M6" s="8"/>
      <c r="N6" s="8"/>
      <c r="O6" s="8"/>
    </row>
    <row r="7">
      <c r="A7" s="10">
        <v>95.0</v>
      </c>
      <c r="B7" s="11" t="s">
        <v>18</v>
      </c>
      <c r="C7" s="11" t="s">
        <v>19</v>
      </c>
      <c r="D7" s="12">
        <v>8.97E8</v>
      </c>
      <c r="E7" s="12">
        <v>1.7164890713E8</v>
      </c>
      <c r="F7" s="12">
        <f>223151985.33+31690386.59</f>
        <v>254842371.9</v>
      </c>
      <c r="G7" s="12">
        <v>1.3101105199E8</v>
      </c>
      <c r="H7" s="13">
        <v>1.7782123557E8</v>
      </c>
      <c r="I7" s="13">
        <v>1.2332794729E8</v>
      </c>
      <c r="J7" s="14">
        <f t="shared" ref="J7:J9" si="1">SUM(E7:I7)</f>
        <v>858651513.9</v>
      </c>
      <c r="K7" s="15">
        <f t="shared" ref="K7:K24" si="2">J7/D7</f>
        <v>0.9572480645</v>
      </c>
      <c r="L7" s="16">
        <f t="shared" ref="L7:L9" si="3">J7/O7*N7</f>
        <v>858651513.9</v>
      </c>
      <c r="M7" s="17">
        <f t="shared" ref="M7:M9" si="4">L7/D7</f>
        <v>0.9572480645</v>
      </c>
      <c r="N7" s="18">
        <v>20.0</v>
      </c>
      <c r="O7" s="19">
        <v>20.0</v>
      </c>
      <c r="P7" s="20" t="s">
        <v>79</v>
      </c>
    </row>
    <row r="8">
      <c r="A8" s="10">
        <v>6.0</v>
      </c>
      <c r="B8" s="11" t="s">
        <v>21</v>
      </c>
      <c r="C8" s="11" t="s">
        <v>19</v>
      </c>
      <c r="D8" s="12">
        <v>6.6E7</v>
      </c>
      <c r="E8" s="12">
        <v>1.161722018E7</v>
      </c>
      <c r="F8" s="12">
        <v>1.151235297E7</v>
      </c>
      <c r="G8" s="12">
        <v>9998858.24</v>
      </c>
      <c r="H8" s="13">
        <v>1.807292382E7</v>
      </c>
      <c r="I8" s="12">
        <v>2.144516814E7</v>
      </c>
      <c r="J8" s="14">
        <f t="shared" si="1"/>
        <v>72646523.35</v>
      </c>
      <c r="K8" s="15">
        <f t="shared" si="2"/>
        <v>1.100704899</v>
      </c>
      <c r="L8" s="16">
        <f t="shared" si="3"/>
        <v>72646523.35</v>
      </c>
      <c r="M8" s="17">
        <f t="shared" si="4"/>
        <v>1.100704899</v>
      </c>
      <c r="N8" s="18">
        <v>20.0</v>
      </c>
      <c r="O8" s="19">
        <v>20.0</v>
      </c>
      <c r="P8" s="20" t="s">
        <v>79</v>
      </c>
    </row>
    <row r="9">
      <c r="A9" s="10">
        <v>64.0</v>
      </c>
      <c r="B9" s="10" t="s">
        <v>22</v>
      </c>
      <c r="C9" s="11" t="s">
        <v>19</v>
      </c>
      <c r="D9" s="12">
        <v>5.0E8</v>
      </c>
      <c r="E9" s="12">
        <v>6.1416E7</v>
      </c>
      <c r="F9" s="12">
        <v>7.94125E7</v>
      </c>
      <c r="G9" s="12">
        <v>2.93021E7</v>
      </c>
      <c r="H9" s="12">
        <v>6.2891999E7</v>
      </c>
      <c r="I9" s="12">
        <v>3.0848E7</v>
      </c>
      <c r="J9" s="14">
        <f t="shared" si="1"/>
        <v>263870599</v>
      </c>
      <c r="K9" s="15">
        <f t="shared" si="2"/>
        <v>0.527741198</v>
      </c>
      <c r="L9" s="16">
        <f t="shared" si="3"/>
        <v>263870599</v>
      </c>
      <c r="M9" s="17">
        <f t="shared" si="4"/>
        <v>0.527741198</v>
      </c>
      <c r="N9" s="18">
        <v>21.0</v>
      </c>
      <c r="O9" s="19">
        <v>21.0</v>
      </c>
      <c r="P9" s="20" t="s">
        <v>80</v>
      </c>
    </row>
    <row r="10">
      <c r="A10" s="10">
        <v>2.0</v>
      </c>
      <c r="B10" s="10" t="s">
        <v>24</v>
      </c>
      <c r="C10" s="10" t="s">
        <v>68</v>
      </c>
      <c r="D10" s="21">
        <v>1.0</v>
      </c>
      <c r="E10" s="21"/>
      <c r="F10" s="21"/>
      <c r="G10" s="21">
        <v>1.08</v>
      </c>
      <c r="H10" s="21">
        <v>3.37</v>
      </c>
      <c r="I10" s="21">
        <v>3.16</v>
      </c>
      <c r="J10" s="57">
        <f t="shared" ref="J10:J11" si="5">I10</f>
        <v>3.16</v>
      </c>
      <c r="K10" s="15">
        <f t="shared" si="2"/>
        <v>3.16</v>
      </c>
      <c r="L10" s="58">
        <f t="shared" ref="L10:L11" si="6">K10</f>
        <v>3.16</v>
      </c>
      <c r="M10" s="43">
        <f>K10</f>
        <v>3.16</v>
      </c>
      <c r="N10" s="18">
        <v>18.0</v>
      </c>
      <c r="O10" s="19">
        <v>18.0</v>
      </c>
      <c r="P10" s="20" t="s">
        <v>80</v>
      </c>
    </row>
    <row r="11">
      <c r="A11" s="10">
        <v>10.0</v>
      </c>
      <c r="B11" s="10" t="s">
        <v>25</v>
      </c>
      <c r="C11" s="11" t="s">
        <v>26</v>
      </c>
      <c r="D11" s="21">
        <v>0.8</v>
      </c>
      <c r="E11" s="23">
        <v>0.008</v>
      </c>
      <c r="F11" s="21">
        <v>0.2475</v>
      </c>
      <c r="G11" s="21">
        <v>0.5954</v>
      </c>
      <c r="H11" s="24">
        <v>0.62</v>
      </c>
      <c r="I11" s="24">
        <v>1.0975</v>
      </c>
      <c r="J11" s="23">
        <f t="shared" si="5"/>
        <v>1.0975</v>
      </c>
      <c r="K11" s="15">
        <f t="shared" si="2"/>
        <v>1.371875</v>
      </c>
      <c r="L11" s="58">
        <f t="shared" si="6"/>
        <v>1.371875</v>
      </c>
      <c r="M11" s="28">
        <f t="shared" ref="M11:M23" si="7">L11/D11</f>
        <v>1.71484375</v>
      </c>
      <c r="N11" s="18">
        <v>21.0</v>
      </c>
      <c r="O11" s="19">
        <v>18.0</v>
      </c>
      <c r="P11" s="20" t="s">
        <v>80</v>
      </c>
    </row>
    <row r="12">
      <c r="A12" s="10">
        <v>26.0</v>
      </c>
      <c r="B12" s="10" t="s">
        <v>27</v>
      </c>
      <c r="C12" s="11" t="s">
        <v>19</v>
      </c>
      <c r="D12" s="19">
        <v>1580.0</v>
      </c>
      <c r="E12" s="18">
        <v>201.0</v>
      </c>
      <c r="F12" s="18">
        <v>311.0</v>
      </c>
      <c r="G12" s="18">
        <v>225.0</v>
      </c>
      <c r="H12" s="18">
        <v>191.0</v>
      </c>
      <c r="I12" s="29">
        <v>76.0</v>
      </c>
      <c r="J12" s="30">
        <f t="shared" ref="J12:J23" si="8">SUM(E12:I12)</f>
        <v>1004</v>
      </c>
      <c r="K12" s="15">
        <f t="shared" si="2"/>
        <v>0.635443038</v>
      </c>
      <c r="L12" s="16">
        <f t="shared" ref="L12:L23" si="9">J12/O12*N12</f>
        <v>1004</v>
      </c>
      <c r="M12" s="17">
        <f t="shared" si="7"/>
        <v>0.635443038</v>
      </c>
      <c r="N12" s="18">
        <v>18.0</v>
      </c>
      <c r="O12" s="18">
        <v>18.0</v>
      </c>
      <c r="P12" s="20" t="s">
        <v>81</v>
      </c>
    </row>
    <row r="13">
      <c r="A13" s="10">
        <v>15.0</v>
      </c>
      <c r="B13" s="10" t="s">
        <v>29</v>
      </c>
      <c r="C13" s="11" t="s">
        <v>19</v>
      </c>
      <c r="D13" s="19">
        <v>5.1938E7</v>
      </c>
      <c r="E13" s="19">
        <v>4590000.0</v>
      </c>
      <c r="F13" s="12">
        <v>1.2787E7</v>
      </c>
      <c r="G13" s="12">
        <v>2.76845E7</v>
      </c>
      <c r="H13" s="12">
        <v>1.9559E7</v>
      </c>
      <c r="I13" s="19">
        <v>5189000.0</v>
      </c>
      <c r="J13" s="30">
        <f t="shared" si="8"/>
        <v>69809500</v>
      </c>
      <c r="K13" s="15">
        <f t="shared" si="2"/>
        <v>1.344092957</v>
      </c>
      <c r="L13" s="16">
        <f t="shared" si="9"/>
        <v>69809500</v>
      </c>
      <c r="M13" s="17">
        <f t="shared" si="7"/>
        <v>1.344092957</v>
      </c>
      <c r="N13" s="18">
        <v>18.0</v>
      </c>
      <c r="O13" s="18">
        <v>18.0</v>
      </c>
      <c r="P13" s="20" t="s">
        <v>81</v>
      </c>
    </row>
    <row r="14">
      <c r="A14" s="10">
        <v>35.0</v>
      </c>
      <c r="B14" s="10" t="s">
        <v>31</v>
      </c>
      <c r="C14" s="11" t="s">
        <v>19</v>
      </c>
      <c r="D14" s="12">
        <v>2.1188795446E8</v>
      </c>
      <c r="E14" s="19">
        <v>3.9244126E7</v>
      </c>
      <c r="F14" s="19">
        <v>4.116198E7</v>
      </c>
      <c r="G14" s="19">
        <v>2.9307521E7</v>
      </c>
      <c r="H14" s="19">
        <v>4.9858756E7</v>
      </c>
      <c r="I14" s="19">
        <v>2.6223507E7</v>
      </c>
      <c r="J14" s="30">
        <f t="shared" si="8"/>
        <v>185795890</v>
      </c>
      <c r="K14" s="15">
        <f t="shared" si="2"/>
        <v>0.8768591422</v>
      </c>
      <c r="L14" s="16">
        <f t="shared" si="9"/>
        <v>185795890</v>
      </c>
      <c r="M14" s="17">
        <f t="shared" si="7"/>
        <v>0.8768591422</v>
      </c>
      <c r="N14" s="18">
        <v>18.0</v>
      </c>
      <c r="O14" s="18">
        <v>18.0</v>
      </c>
      <c r="P14" s="20" t="s">
        <v>82</v>
      </c>
    </row>
    <row r="15" ht="17.25" customHeight="1">
      <c r="A15" s="10">
        <v>92.0</v>
      </c>
      <c r="B15" s="11" t="s">
        <v>32</v>
      </c>
      <c r="C15" s="11" t="s">
        <v>19</v>
      </c>
      <c r="D15" s="19">
        <v>13248.0</v>
      </c>
      <c r="E15" s="18">
        <v>2342.0</v>
      </c>
      <c r="F15" s="18">
        <f>2217+1332+675</f>
        <v>4224</v>
      </c>
      <c r="G15" s="18">
        <v>1386.0</v>
      </c>
      <c r="H15" s="18">
        <f>654+811+801+763+671+496+724+1377</f>
        <v>6297</v>
      </c>
      <c r="I15" s="18"/>
      <c r="J15" s="30">
        <f t="shared" si="8"/>
        <v>14249</v>
      </c>
      <c r="K15" s="15">
        <f t="shared" si="2"/>
        <v>1.075558575</v>
      </c>
      <c r="L15" s="16">
        <f t="shared" si="9"/>
        <v>14249</v>
      </c>
      <c r="M15" s="17">
        <f t="shared" si="7"/>
        <v>1.075558575</v>
      </c>
      <c r="N15" s="18">
        <v>18.0</v>
      </c>
      <c r="O15" s="18">
        <v>18.0</v>
      </c>
      <c r="P15" s="20" t="s">
        <v>82</v>
      </c>
    </row>
    <row r="16">
      <c r="A16" s="10">
        <v>20.0</v>
      </c>
      <c r="B16" s="10" t="s">
        <v>72</v>
      </c>
      <c r="C16" s="11" t="s">
        <v>19</v>
      </c>
      <c r="D16" s="19">
        <v>3078.0</v>
      </c>
      <c r="E16" s="18">
        <v>670.0</v>
      </c>
      <c r="F16" s="18">
        <f>434+202+152</f>
        <v>788</v>
      </c>
      <c r="G16" s="18">
        <v>235.0</v>
      </c>
      <c r="H16" s="18">
        <f>113+156+128+83+83+58+84+126</f>
        <v>831</v>
      </c>
      <c r="I16" s="18"/>
      <c r="J16" s="45">
        <f t="shared" si="8"/>
        <v>2524</v>
      </c>
      <c r="K16" s="15">
        <f t="shared" si="2"/>
        <v>0.8200129955</v>
      </c>
      <c r="L16" s="16">
        <f t="shared" si="9"/>
        <v>2524</v>
      </c>
      <c r="M16" s="17">
        <f t="shared" si="7"/>
        <v>0.8200129955</v>
      </c>
      <c r="N16" s="18">
        <v>18.0</v>
      </c>
      <c r="O16" s="18">
        <v>18.0</v>
      </c>
      <c r="P16" s="20" t="str">
        <f>P15</f>
        <v>as of April 30, 2025- unoffcial</v>
      </c>
    </row>
    <row r="17">
      <c r="A17" s="10">
        <v>28.0</v>
      </c>
      <c r="B17" s="11" t="s">
        <v>35</v>
      </c>
      <c r="C17" s="11" t="s">
        <v>19</v>
      </c>
      <c r="D17" s="19">
        <f>12740000*28</f>
        <v>356720000</v>
      </c>
      <c r="E17" s="19">
        <f>34943500+31186000+34387000+26054000</f>
        <v>126570500</v>
      </c>
      <c r="F17" s="19">
        <f>39033000+38357000+43366200+32630000+24436000</f>
        <v>177822200</v>
      </c>
      <c r="G17" s="19">
        <f>30228926+24373000+24180000</f>
        <v>78781926</v>
      </c>
      <c r="H17" s="19">
        <f>33055000+34408000+22959000+36301000+35616900</f>
        <v>162339900</v>
      </c>
      <c r="I17" s="19">
        <f>37559000+35557000+41591000</f>
        <v>114707000</v>
      </c>
      <c r="J17" s="30">
        <f t="shared" si="8"/>
        <v>660221526</v>
      </c>
      <c r="K17" s="15">
        <f t="shared" si="2"/>
        <v>1.850811634</v>
      </c>
      <c r="L17" s="16">
        <f t="shared" si="9"/>
        <v>660221526</v>
      </c>
      <c r="M17" s="17">
        <f t="shared" si="7"/>
        <v>1.850811634</v>
      </c>
      <c r="N17" s="18">
        <v>20.0</v>
      </c>
      <c r="O17" s="18">
        <v>20.0</v>
      </c>
      <c r="P17" s="20" t="s">
        <v>80</v>
      </c>
    </row>
    <row r="18">
      <c r="A18" s="10">
        <v>11.0</v>
      </c>
      <c r="B18" s="11" t="s">
        <v>37</v>
      </c>
      <c r="C18" s="11" t="s">
        <v>19</v>
      </c>
      <c r="D18" s="12">
        <v>1600.0</v>
      </c>
      <c r="E18" s="19">
        <f>18+42+31+38</f>
        <v>129</v>
      </c>
      <c r="F18" s="34">
        <f>34+58+43+41+43</f>
        <v>219</v>
      </c>
      <c r="G18" s="34">
        <f>27+26+31</f>
        <v>84</v>
      </c>
      <c r="H18" s="34">
        <f>46+36+38+55+34+25</f>
        <v>234</v>
      </c>
      <c r="I18" s="34">
        <f>24+45+37</f>
        <v>106</v>
      </c>
      <c r="J18" s="30">
        <f t="shared" si="8"/>
        <v>772</v>
      </c>
      <c r="K18" s="15">
        <f t="shared" si="2"/>
        <v>0.4825</v>
      </c>
      <c r="L18" s="16">
        <f t="shared" si="9"/>
        <v>772</v>
      </c>
      <c r="M18" s="17">
        <f t="shared" si="7"/>
        <v>0.4825</v>
      </c>
      <c r="N18" s="18">
        <v>21.0</v>
      </c>
      <c r="O18" s="18">
        <v>21.0</v>
      </c>
      <c r="P18" s="20" t="s">
        <v>80</v>
      </c>
    </row>
    <row r="19">
      <c r="A19" s="10">
        <v>1.0</v>
      </c>
      <c r="B19" s="11" t="s">
        <v>38</v>
      </c>
      <c r="C19" s="11" t="s">
        <v>19</v>
      </c>
      <c r="D19" s="12">
        <v>550.0</v>
      </c>
      <c r="E19" s="19">
        <f>31+24+27+23</f>
        <v>105</v>
      </c>
      <c r="F19" s="29">
        <f>30+26+31+33+31</f>
        <v>151</v>
      </c>
      <c r="G19" s="29">
        <f>25+27+19</f>
        <v>71</v>
      </c>
      <c r="H19" s="29">
        <f>23+23+30+30+27+32</f>
        <v>165</v>
      </c>
      <c r="I19" s="29">
        <f>23+23+35</f>
        <v>81</v>
      </c>
      <c r="J19" s="30">
        <f t="shared" si="8"/>
        <v>573</v>
      </c>
      <c r="K19" s="15">
        <f t="shared" si="2"/>
        <v>1.041818182</v>
      </c>
      <c r="L19" s="16">
        <f t="shared" si="9"/>
        <v>573</v>
      </c>
      <c r="M19" s="17">
        <f t="shared" si="7"/>
        <v>1.041818182</v>
      </c>
      <c r="N19" s="18">
        <v>21.0</v>
      </c>
      <c r="O19" s="18">
        <v>21.0</v>
      </c>
      <c r="P19" s="20" t="s">
        <v>80</v>
      </c>
    </row>
    <row r="20">
      <c r="A20" s="10">
        <v>2.0</v>
      </c>
      <c r="B20" s="10" t="s">
        <v>39</v>
      </c>
      <c r="C20" s="11" t="s">
        <v>19</v>
      </c>
      <c r="D20" s="12">
        <v>1800.0</v>
      </c>
      <c r="E20" s="19">
        <f>95+73+71+97</f>
        <v>336</v>
      </c>
      <c r="F20" s="29">
        <f>105+118+111+108+101</f>
        <v>543</v>
      </c>
      <c r="G20" s="29">
        <f>116+66+53</f>
        <v>235</v>
      </c>
      <c r="H20" s="29">
        <f>71+49+85+82+58+70</f>
        <v>415</v>
      </c>
      <c r="I20" s="29">
        <f>105+106+135</f>
        <v>346</v>
      </c>
      <c r="J20" s="30">
        <f t="shared" si="8"/>
        <v>1875</v>
      </c>
      <c r="K20" s="15">
        <f t="shared" si="2"/>
        <v>1.041666667</v>
      </c>
      <c r="L20" s="16">
        <f t="shared" si="9"/>
        <v>1875</v>
      </c>
      <c r="M20" s="17">
        <f t="shared" si="7"/>
        <v>1.041666667</v>
      </c>
      <c r="N20" s="18">
        <v>21.0</v>
      </c>
      <c r="O20" s="18">
        <v>21.0</v>
      </c>
      <c r="P20" s="20" t="s">
        <v>80</v>
      </c>
    </row>
    <row r="21">
      <c r="A21" s="10">
        <v>20.0</v>
      </c>
      <c r="B21" s="10" t="s">
        <v>40</v>
      </c>
      <c r="C21" s="11" t="s">
        <v>19</v>
      </c>
      <c r="D21" s="12">
        <v>300.0</v>
      </c>
      <c r="E21" s="19">
        <v>42.0</v>
      </c>
      <c r="F21" s="29">
        <v>78.0</v>
      </c>
      <c r="G21" s="29">
        <v>27.0</v>
      </c>
      <c r="H21" s="29">
        <v>147.0</v>
      </c>
      <c r="I21" s="29">
        <v>30.0</v>
      </c>
      <c r="J21" s="30">
        <f t="shared" si="8"/>
        <v>324</v>
      </c>
      <c r="K21" s="15">
        <f t="shared" si="2"/>
        <v>1.08</v>
      </c>
      <c r="L21" s="16">
        <f t="shared" si="9"/>
        <v>324</v>
      </c>
      <c r="M21" s="17">
        <f t="shared" si="7"/>
        <v>1.08</v>
      </c>
      <c r="N21" s="18">
        <v>21.0</v>
      </c>
      <c r="O21" s="18">
        <v>21.0</v>
      </c>
      <c r="P21" s="20" t="s">
        <v>83</v>
      </c>
    </row>
    <row r="22">
      <c r="A22" s="10">
        <v>21.0</v>
      </c>
      <c r="B22" s="10" t="s">
        <v>73</v>
      </c>
      <c r="C22" s="11" t="s">
        <v>19</v>
      </c>
      <c r="D22" s="12">
        <v>1944.0</v>
      </c>
      <c r="E22" s="19">
        <v>306.0</v>
      </c>
      <c r="F22" s="29">
        <v>235.0</v>
      </c>
      <c r="G22" s="29">
        <v>393.0</v>
      </c>
      <c r="H22" s="32">
        <v>282.0</v>
      </c>
      <c r="I22" s="29">
        <v>525.0</v>
      </c>
      <c r="J22" s="30">
        <f t="shared" si="8"/>
        <v>1741</v>
      </c>
      <c r="K22" s="15">
        <f t="shared" si="2"/>
        <v>0.8955761317</v>
      </c>
      <c r="L22" s="16">
        <f t="shared" si="9"/>
        <v>1741</v>
      </c>
      <c r="M22" s="17">
        <f t="shared" si="7"/>
        <v>0.8955761317</v>
      </c>
      <c r="N22" s="18">
        <v>21.0</v>
      </c>
      <c r="O22" s="18">
        <v>21.0</v>
      </c>
      <c r="P22" s="20" t="s">
        <v>84</v>
      </c>
    </row>
    <row r="23">
      <c r="A23" s="10">
        <v>1.0</v>
      </c>
      <c r="B23" s="10" t="s">
        <v>43</v>
      </c>
      <c r="C23" s="11" t="s">
        <v>19</v>
      </c>
      <c r="D23" s="12">
        <v>25.0</v>
      </c>
      <c r="E23" s="12">
        <v>5.0</v>
      </c>
      <c r="F23" s="12">
        <v>6.0</v>
      </c>
      <c r="G23" s="12">
        <v>3.0</v>
      </c>
      <c r="H23" s="12">
        <v>8.0</v>
      </c>
      <c r="I23" s="12">
        <v>3.0</v>
      </c>
      <c r="J23" s="14">
        <f t="shared" si="8"/>
        <v>25</v>
      </c>
      <c r="K23" s="15">
        <f t="shared" si="2"/>
        <v>1</v>
      </c>
      <c r="L23" s="16">
        <f t="shared" si="9"/>
        <v>25</v>
      </c>
      <c r="M23" s="17">
        <f t="shared" si="7"/>
        <v>1</v>
      </c>
      <c r="N23" s="18">
        <v>21.0</v>
      </c>
      <c r="O23" s="18">
        <v>21.0</v>
      </c>
      <c r="P23" s="20" t="s">
        <v>83</v>
      </c>
    </row>
    <row r="24">
      <c r="A24" s="10">
        <v>45.0</v>
      </c>
      <c r="B24" s="10" t="s">
        <v>44</v>
      </c>
      <c r="C24" s="11" t="s">
        <v>19</v>
      </c>
      <c r="D24" s="21">
        <v>0.85</v>
      </c>
      <c r="E24" s="21">
        <v>0.92</v>
      </c>
      <c r="F24" s="24">
        <v>0.95</v>
      </c>
      <c r="G24" s="24">
        <v>0.98</v>
      </c>
      <c r="H24" s="24">
        <v>0.93</v>
      </c>
      <c r="I24" s="24">
        <v>0.94</v>
      </c>
      <c r="J24" s="57">
        <f>AVERAGE(E24:I24)</f>
        <v>0.944</v>
      </c>
      <c r="K24" s="15">
        <f t="shared" si="2"/>
        <v>1.110588235</v>
      </c>
      <c r="L24" s="22">
        <f>K24</f>
        <v>1.110588235</v>
      </c>
      <c r="M24" s="17">
        <f>K24</f>
        <v>1.110588235</v>
      </c>
      <c r="N24" s="18">
        <v>30.0</v>
      </c>
      <c r="O24" s="18">
        <v>30.0</v>
      </c>
      <c r="P24" s="20" t="s">
        <v>85</v>
      </c>
    </row>
    <row r="25">
      <c r="A25" s="35"/>
      <c r="B25" s="35"/>
      <c r="C25" s="35"/>
      <c r="D25" s="36"/>
      <c r="E25" s="37"/>
      <c r="F25" s="38"/>
      <c r="G25" s="38"/>
      <c r="H25" s="36"/>
      <c r="I25" s="38"/>
      <c r="J25" s="37"/>
      <c r="K25" s="39"/>
      <c r="L25" s="40"/>
      <c r="M25" s="41"/>
      <c r="N25" s="38"/>
      <c r="O25" s="38"/>
    </row>
    <row r="26" ht="15.0" customHeight="1">
      <c r="A26" s="1" t="s">
        <v>0</v>
      </c>
      <c r="B26" s="42" t="s">
        <v>86</v>
      </c>
    </row>
    <row r="27" ht="10.5" customHeight="1">
      <c r="A27" s="3"/>
    </row>
    <row r="28">
      <c r="A28" s="3"/>
    </row>
    <row r="29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>
      <c r="A30" s="5" t="s">
        <v>2</v>
      </c>
      <c r="B30" s="5" t="s">
        <v>3</v>
      </c>
      <c r="C30" s="5" t="s">
        <v>4</v>
      </c>
      <c r="D30" s="6" t="s">
        <v>5</v>
      </c>
      <c r="E30" s="7" t="s">
        <v>6</v>
      </c>
      <c r="F30" s="4"/>
      <c r="G30" s="4"/>
      <c r="H30" s="4"/>
      <c r="I30" s="8"/>
      <c r="J30" s="6" t="s">
        <v>7</v>
      </c>
      <c r="K30" s="6" t="s">
        <v>8</v>
      </c>
      <c r="L30" s="6" t="s">
        <v>9</v>
      </c>
      <c r="M30" s="6" t="s">
        <v>10</v>
      </c>
      <c r="N30" s="6" t="s">
        <v>11</v>
      </c>
      <c r="O30" s="6" t="s">
        <v>12</v>
      </c>
    </row>
    <row r="31">
      <c r="A31" s="8"/>
      <c r="B31" s="8"/>
      <c r="C31" s="8"/>
      <c r="D31" s="8"/>
      <c r="E31" s="9" t="s">
        <v>13</v>
      </c>
      <c r="F31" s="9" t="s">
        <v>14</v>
      </c>
      <c r="G31" s="9" t="s">
        <v>15</v>
      </c>
      <c r="H31" s="9" t="s">
        <v>16</v>
      </c>
      <c r="I31" s="9" t="s">
        <v>17</v>
      </c>
      <c r="J31" s="8"/>
      <c r="K31" s="8"/>
      <c r="L31" s="8"/>
      <c r="M31" s="8"/>
      <c r="N31" s="8"/>
      <c r="O31" s="8"/>
    </row>
    <row r="32">
      <c r="A32" s="10">
        <v>95.0</v>
      </c>
      <c r="B32" s="11" t="s">
        <v>18</v>
      </c>
      <c r="C32" s="11" t="s">
        <v>19</v>
      </c>
      <c r="D32" s="19">
        <v>8.075E8</v>
      </c>
      <c r="E32" s="12">
        <v>9.850932009E7</v>
      </c>
      <c r="F32" s="12">
        <v>2.2979943727E8</v>
      </c>
      <c r="G32" s="12">
        <v>1.4707528133E8</v>
      </c>
      <c r="H32" s="13">
        <v>1.7703142525E8</v>
      </c>
      <c r="I32" s="13">
        <v>1.034836158E8</v>
      </c>
      <c r="J32" s="14">
        <f t="shared" ref="J32:J34" si="10">SUM(E32:I32)</f>
        <v>755899079.7</v>
      </c>
      <c r="K32" s="15">
        <f t="shared" ref="K32:K35" si="11">J32/D32</f>
        <v>0.9360979316</v>
      </c>
      <c r="L32" s="16">
        <f t="shared" ref="L32:L34" si="12">J32/O32*N32</f>
        <v>800363731.5</v>
      </c>
      <c r="M32" s="43">
        <f t="shared" ref="M32:M34" si="13">L32/D32</f>
        <v>0.9911625158</v>
      </c>
      <c r="N32" s="18">
        <v>18.0</v>
      </c>
      <c r="O32" s="19">
        <v>17.0</v>
      </c>
      <c r="P32" s="20" t="s">
        <v>79</v>
      </c>
    </row>
    <row r="33">
      <c r="A33" s="10">
        <v>6.0</v>
      </c>
      <c r="B33" s="11" t="s">
        <v>21</v>
      </c>
      <c r="C33" s="11" t="s">
        <v>19</v>
      </c>
      <c r="D33" s="19">
        <v>6.0E7</v>
      </c>
      <c r="E33" s="12">
        <v>8846989.37</v>
      </c>
      <c r="F33" s="12">
        <v>9400180.12</v>
      </c>
      <c r="G33" s="12">
        <v>9616517.15</v>
      </c>
      <c r="H33" s="13">
        <v>1.525342978E7</v>
      </c>
      <c r="I33" s="12">
        <v>1.222205969E7</v>
      </c>
      <c r="J33" s="14">
        <f t="shared" si="10"/>
        <v>55339176.11</v>
      </c>
      <c r="K33" s="15">
        <f t="shared" si="11"/>
        <v>0.9223196018</v>
      </c>
      <c r="L33" s="16">
        <f t="shared" si="12"/>
        <v>58594421.76</v>
      </c>
      <c r="M33" s="43">
        <f t="shared" si="13"/>
        <v>0.9765736961</v>
      </c>
      <c r="N33" s="18">
        <v>18.0</v>
      </c>
      <c r="O33" s="19">
        <v>17.0</v>
      </c>
      <c r="P33" s="20" t="s">
        <v>79</v>
      </c>
    </row>
    <row r="34">
      <c r="A34" s="10">
        <v>64.0</v>
      </c>
      <c r="B34" s="10" t="s">
        <v>22</v>
      </c>
      <c r="C34" s="11" t="s">
        <v>19</v>
      </c>
      <c r="D34" s="19">
        <v>3.5E8</v>
      </c>
      <c r="E34" s="12">
        <v>3.51635E7</v>
      </c>
      <c r="F34" s="12">
        <v>5.76293E7</v>
      </c>
      <c r="G34" s="12">
        <v>3.99425E7</v>
      </c>
      <c r="H34" s="12">
        <v>6.1946E7</v>
      </c>
      <c r="I34" s="12">
        <v>2.8868999E7</v>
      </c>
      <c r="J34" s="14">
        <f t="shared" si="10"/>
        <v>223550299</v>
      </c>
      <c r="K34" s="15">
        <f t="shared" si="11"/>
        <v>0.63871514</v>
      </c>
      <c r="L34" s="16">
        <f t="shared" si="12"/>
        <v>223550299</v>
      </c>
      <c r="M34" s="43">
        <f t="shared" si="13"/>
        <v>0.63871514</v>
      </c>
      <c r="N34" s="18">
        <v>18.0</v>
      </c>
      <c r="O34" s="19">
        <v>18.0</v>
      </c>
      <c r="P34" s="20" t="s">
        <v>87</v>
      </c>
    </row>
    <row r="35">
      <c r="A35" s="10">
        <v>2.0</v>
      </c>
      <c r="B35" s="10" t="s">
        <v>24</v>
      </c>
      <c r="C35" s="10" t="s">
        <v>68</v>
      </c>
      <c r="D35" s="21">
        <v>1.0</v>
      </c>
      <c r="E35" s="21"/>
      <c r="F35" s="21"/>
      <c r="G35" s="21">
        <v>1.08</v>
      </c>
      <c r="H35" s="21">
        <v>3.37</v>
      </c>
      <c r="I35" s="21">
        <v>3.16</v>
      </c>
      <c r="J35" s="57">
        <f t="shared" ref="J35:J36" si="14">I35</f>
        <v>3.16</v>
      </c>
      <c r="K35" s="15">
        <f t="shared" si="11"/>
        <v>3.16</v>
      </c>
      <c r="L35" s="58">
        <f>K35</f>
        <v>3.16</v>
      </c>
      <c r="M35" s="43">
        <f>K35</f>
        <v>3.16</v>
      </c>
      <c r="N35" s="18">
        <v>18.0</v>
      </c>
      <c r="O35" s="19">
        <v>18.0</v>
      </c>
      <c r="P35" s="20" t="s">
        <v>87</v>
      </c>
    </row>
    <row r="36">
      <c r="A36" s="10">
        <v>10.0</v>
      </c>
      <c r="B36" s="10" t="s">
        <v>25</v>
      </c>
      <c r="C36" s="11" t="s">
        <v>26</v>
      </c>
      <c r="D36" s="21">
        <v>0.8</v>
      </c>
      <c r="E36" s="23">
        <v>0.008</v>
      </c>
      <c r="F36" s="21">
        <v>0.2475</v>
      </c>
      <c r="G36" s="21">
        <v>0.5954</v>
      </c>
      <c r="H36" s="24">
        <v>0.62</v>
      </c>
      <c r="I36" s="24">
        <v>1.0975</v>
      </c>
      <c r="J36" s="57">
        <f t="shared" si="14"/>
        <v>1.0975</v>
      </c>
      <c r="K36" s="15">
        <v>1.0975</v>
      </c>
      <c r="L36" s="75">
        <v>1.0975</v>
      </c>
      <c r="M36" s="59">
        <v>1.0975</v>
      </c>
      <c r="N36" s="18">
        <v>18.0</v>
      </c>
      <c r="O36" s="19">
        <v>18.0</v>
      </c>
      <c r="P36" s="20" t="s">
        <v>87</v>
      </c>
    </row>
    <row r="37">
      <c r="A37" s="10">
        <v>26.0</v>
      </c>
      <c r="B37" s="10" t="s">
        <v>27</v>
      </c>
      <c r="C37" s="11" t="s">
        <v>19</v>
      </c>
      <c r="D37" s="19">
        <v>900.0</v>
      </c>
      <c r="E37" s="18">
        <v>69.0</v>
      </c>
      <c r="F37" s="18">
        <v>132.0</v>
      </c>
      <c r="G37" s="18">
        <v>137.0</v>
      </c>
      <c r="H37" s="18">
        <v>158.0</v>
      </c>
      <c r="I37" s="29">
        <v>72.0</v>
      </c>
      <c r="J37" s="45">
        <f t="shared" ref="J37:J39" si="15">sum(E37:I37)</f>
        <v>568</v>
      </c>
      <c r="K37" s="15">
        <f t="shared" ref="K37:K49" si="16">J37/D37</f>
        <v>0.6311111111</v>
      </c>
      <c r="L37" s="16">
        <f t="shared" ref="L37:L48" si="17">J37/O37*N37</f>
        <v>568</v>
      </c>
      <c r="M37" s="43">
        <f t="shared" ref="M37:M49" si="18">L37/D37</f>
        <v>0.6311111111</v>
      </c>
      <c r="N37" s="18">
        <v>18.0</v>
      </c>
      <c r="O37" s="60">
        <v>18.0</v>
      </c>
      <c r="P37" s="20" t="s">
        <v>87</v>
      </c>
    </row>
    <row r="38">
      <c r="A38" s="10">
        <v>15.0</v>
      </c>
      <c r="B38" s="10" t="s">
        <v>29</v>
      </c>
      <c r="C38" s="11" t="s">
        <v>19</v>
      </c>
      <c r="D38" s="12">
        <v>1.364E7</v>
      </c>
      <c r="E38" s="19">
        <v>1067000.0</v>
      </c>
      <c r="F38" s="12">
        <v>2145000.0</v>
      </c>
      <c r="G38" s="19">
        <v>3345000.0</v>
      </c>
      <c r="H38" s="19">
        <v>2981000.0</v>
      </c>
      <c r="I38" s="19">
        <v>3124000.0</v>
      </c>
      <c r="J38" s="30">
        <f t="shared" si="15"/>
        <v>12662000</v>
      </c>
      <c r="K38" s="15">
        <f t="shared" si="16"/>
        <v>0.9282991202</v>
      </c>
      <c r="L38" s="16">
        <f t="shared" si="17"/>
        <v>12662000</v>
      </c>
      <c r="M38" s="43">
        <f t="shared" si="18"/>
        <v>0.9282991202</v>
      </c>
      <c r="N38" s="62">
        <v>18.0</v>
      </c>
      <c r="O38" s="76">
        <v>18.0</v>
      </c>
      <c r="P38" s="20" t="s">
        <v>87</v>
      </c>
    </row>
    <row r="39">
      <c r="A39" s="10">
        <v>35.0</v>
      </c>
      <c r="B39" s="10" t="s">
        <v>31</v>
      </c>
      <c r="C39" s="11" t="s">
        <v>19</v>
      </c>
      <c r="D39" s="14">
        <f t="shared" ref="D39:I39" si="19">D14</f>
        <v>211887954.5</v>
      </c>
      <c r="E39" s="14">
        <f t="shared" si="19"/>
        <v>39244126</v>
      </c>
      <c r="F39" s="14">
        <f t="shared" si="19"/>
        <v>41161980</v>
      </c>
      <c r="G39" s="14">
        <f t="shared" si="19"/>
        <v>29307521</v>
      </c>
      <c r="H39" s="14">
        <f t="shared" si="19"/>
        <v>49858756</v>
      </c>
      <c r="I39" s="14">
        <f t="shared" si="19"/>
        <v>26223507</v>
      </c>
      <c r="J39" s="14">
        <f t="shared" si="15"/>
        <v>185795890</v>
      </c>
      <c r="K39" s="15">
        <f t="shared" si="16"/>
        <v>0.8768591422</v>
      </c>
      <c r="L39" s="16">
        <f t="shared" si="17"/>
        <v>185795890</v>
      </c>
      <c r="M39" s="43">
        <f t="shared" si="18"/>
        <v>0.8768591422</v>
      </c>
      <c r="N39" s="70">
        <f t="shared" ref="N39:P39" si="20">N14</f>
        <v>18</v>
      </c>
      <c r="O39" s="66">
        <f t="shared" si="20"/>
        <v>18</v>
      </c>
      <c r="P39" s="71" t="str">
        <f t="shared" si="20"/>
        <v>as of April 30, 2025- unoffcial</v>
      </c>
    </row>
    <row r="40">
      <c r="A40" s="10">
        <v>92.0</v>
      </c>
      <c r="B40" s="11" t="s">
        <v>32</v>
      </c>
      <c r="C40" s="10" t="s">
        <v>76</v>
      </c>
      <c r="D40" s="19">
        <f t="shared" ref="D40:D45" si="22">D15</f>
        <v>13248</v>
      </c>
      <c r="E40" s="18">
        <v>1092.0</v>
      </c>
      <c r="F40" s="18">
        <f>2366+654</f>
        <v>3020</v>
      </c>
      <c r="G40" s="18">
        <v>2795.0</v>
      </c>
      <c r="H40" s="18">
        <f>666+553+746+729+816+1721+1992</f>
        <v>7223</v>
      </c>
      <c r="I40" s="33"/>
      <c r="J40" s="45">
        <f t="shared" ref="J40:J48" si="23">SUM(E40:I40)</f>
        <v>14130</v>
      </c>
      <c r="K40" s="15">
        <f t="shared" si="16"/>
        <v>1.066576087</v>
      </c>
      <c r="L40" s="16">
        <f t="shared" si="17"/>
        <v>14130</v>
      </c>
      <c r="M40" s="43">
        <f t="shared" si="18"/>
        <v>1.066576087</v>
      </c>
      <c r="N40" s="62">
        <f t="shared" ref="N40:P40" si="21">N15</f>
        <v>18</v>
      </c>
      <c r="O40" s="77">
        <f t="shared" si="21"/>
        <v>18</v>
      </c>
      <c r="P40" s="71" t="str">
        <f t="shared" si="21"/>
        <v>as of April 30, 2025- unoffcial</v>
      </c>
    </row>
    <row r="41">
      <c r="A41" s="10">
        <v>20.0</v>
      </c>
      <c r="B41" s="10" t="s">
        <v>72</v>
      </c>
      <c r="C41" s="10" t="s">
        <v>76</v>
      </c>
      <c r="D41" s="19">
        <f t="shared" si="22"/>
        <v>3078</v>
      </c>
      <c r="E41" s="18">
        <v>223.0</v>
      </c>
      <c r="F41" s="18">
        <f>668+134</f>
        <v>802</v>
      </c>
      <c r="G41" s="18">
        <v>602.0</v>
      </c>
      <c r="H41" s="18">
        <f>60+163+156+50+166+172+153</f>
        <v>920</v>
      </c>
      <c r="I41" s="33"/>
      <c r="J41" s="45">
        <f t="shared" si="23"/>
        <v>2547</v>
      </c>
      <c r="K41" s="15">
        <f t="shared" si="16"/>
        <v>0.8274853801</v>
      </c>
      <c r="L41" s="16">
        <f t="shared" si="17"/>
        <v>2547</v>
      </c>
      <c r="M41" s="43">
        <f t="shared" si="18"/>
        <v>0.8274853801</v>
      </c>
      <c r="N41" s="62">
        <f>N15</f>
        <v>18</v>
      </c>
      <c r="O41" s="63">
        <f>O40</f>
        <v>18</v>
      </c>
      <c r="P41" s="68" t="str">
        <f>P16</f>
        <v>as of April 30, 2025- unoffcial</v>
      </c>
    </row>
    <row r="42">
      <c r="A42" s="10">
        <v>28.0</v>
      </c>
      <c r="B42" s="11" t="s">
        <v>35</v>
      </c>
      <c r="C42" s="11" t="s">
        <v>19</v>
      </c>
      <c r="D42" s="19">
        <f t="shared" si="22"/>
        <v>356720000</v>
      </c>
      <c r="E42" s="19">
        <f t="shared" ref="E42:I42" si="24">E17</f>
        <v>126570500</v>
      </c>
      <c r="F42" s="19">
        <f t="shared" si="24"/>
        <v>177822200</v>
      </c>
      <c r="G42" s="19">
        <f t="shared" si="24"/>
        <v>78781926</v>
      </c>
      <c r="H42" s="19">
        <f t="shared" si="24"/>
        <v>162339900</v>
      </c>
      <c r="I42" s="46">
        <f t="shared" si="24"/>
        <v>114707000</v>
      </c>
      <c r="J42" s="30">
        <f t="shared" si="23"/>
        <v>660221526</v>
      </c>
      <c r="K42" s="15">
        <f t="shared" si="16"/>
        <v>1.850811634</v>
      </c>
      <c r="L42" s="16">
        <f t="shared" si="17"/>
        <v>660221526</v>
      </c>
      <c r="M42" s="43">
        <f t="shared" si="18"/>
        <v>1.850811634</v>
      </c>
      <c r="N42" s="18">
        <v>20.0</v>
      </c>
      <c r="O42" s="18">
        <v>20.0</v>
      </c>
      <c r="P42" s="20" t="s">
        <v>80</v>
      </c>
    </row>
    <row r="43">
      <c r="A43" s="10">
        <v>11.0</v>
      </c>
      <c r="B43" s="11" t="s">
        <v>37</v>
      </c>
      <c r="C43" s="11" t="s">
        <v>19</v>
      </c>
      <c r="D43" s="19">
        <f t="shared" si="22"/>
        <v>1600</v>
      </c>
      <c r="E43" s="19">
        <f t="shared" ref="E43:I43" si="25">E18</f>
        <v>129</v>
      </c>
      <c r="F43" s="19">
        <f t="shared" si="25"/>
        <v>219</v>
      </c>
      <c r="G43" s="19">
        <f t="shared" si="25"/>
        <v>84</v>
      </c>
      <c r="H43" s="19">
        <f t="shared" si="25"/>
        <v>234</v>
      </c>
      <c r="I43" s="46">
        <f t="shared" si="25"/>
        <v>106</v>
      </c>
      <c r="J43" s="30">
        <f t="shared" si="23"/>
        <v>772</v>
      </c>
      <c r="K43" s="15">
        <f t="shared" si="16"/>
        <v>0.4825</v>
      </c>
      <c r="L43" s="16">
        <f t="shared" si="17"/>
        <v>772</v>
      </c>
      <c r="M43" s="43">
        <f t="shared" si="18"/>
        <v>0.4825</v>
      </c>
      <c r="N43" s="18">
        <v>21.0</v>
      </c>
      <c r="O43" s="18">
        <v>21.0</v>
      </c>
      <c r="P43" s="20" t="s">
        <v>80</v>
      </c>
    </row>
    <row r="44">
      <c r="A44" s="10">
        <v>1.0</v>
      </c>
      <c r="B44" s="11" t="s">
        <v>38</v>
      </c>
      <c r="C44" s="11" t="s">
        <v>19</v>
      </c>
      <c r="D44" s="19">
        <f t="shared" si="22"/>
        <v>550</v>
      </c>
      <c r="E44" s="19">
        <f t="shared" ref="E44:I44" si="26">E19</f>
        <v>105</v>
      </c>
      <c r="F44" s="19">
        <f t="shared" si="26"/>
        <v>151</v>
      </c>
      <c r="G44" s="19">
        <f t="shared" si="26"/>
        <v>71</v>
      </c>
      <c r="H44" s="19">
        <f t="shared" si="26"/>
        <v>165</v>
      </c>
      <c r="I44" s="46">
        <f t="shared" si="26"/>
        <v>81</v>
      </c>
      <c r="J44" s="30">
        <f t="shared" si="23"/>
        <v>573</v>
      </c>
      <c r="K44" s="15">
        <f t="shared" si="16"/>
        <v>1.041818182</v>
      </c>
      <c r="L44" s="16">
        <f t="shared" si="17"/>
        <v>573</v>
      </c>
      <c r="M44" s="43">
        <f t="shared" si="18"/>
        <v>1.041818182</v>
      </c>
      <c r="N44" s="18">
        <v>21.0</v>
      </c>
      <c r="O44" s="18">
        <v>21.0</v>
      </c>
      <c r="P44" s="20" t="s">
        <v>80</v>
      </c>
    </row>
    <row r="45">
      <c r="A45" s="10">
        <v>2.0</v>
      </c>
      <c r="B45" s="10" t="s">
        <v>39</v>
      </c>
      <c r="C45" s="11" t="s">
        <v>19</v>
      </c>
      <c r="D45" s="19">
        <f t="shared" si="22"/>
        <v>1800</v>
      </c>
      <c r="E45" s="19">
        <f t="shared" ref="E45:I45" si="27">E20</f>
        <v>336</v>
      </c>
      <c r="F45" s="19">
        <f t="shared" si="27"/>
        <v>543</v>
      </c>
      <c r="G45" s="19">
        <f t="shared" si="27"/>
        <v>235</v>
      </c>
      <c r="H45" s="19">
        <f t="shared" si="27"/>
        <v>415</v>
      </c>
      <c r="I45" s="46">
        <f t="shared" si="27"/>
        <v>346</v>
      </c>
      <c r="J45" s="30">
        <f t="shared" si="23"/>
        <v>1875</v>
      </c>
      <c r="K45" s="15">
        <f t="shared" si="16"/>
        <v>1.041666667</v>
      </c>
      <c r="L45" s="16">
        <f t="shared" si="17"/>
        <v>1875</v>
      </c>
      <c r="M45" s="43">
        <f t="shared" si="18"/>
        <v>1.041666667</v>
      </c>
      <c r="N45" s="18">
        <v>21.0</v>
      </c>
      <c r="O45" s="18">
        <v>21.0</v>
      </c>
      <c r="P45" s="20" t="s">
        <v>80</v>
      </c>
    </row>
    <row r="46">
      <c r="A46" s="10">
        <v>15.0</v>
      </c>
      <c r="B46" s="10" t="s">
        <v>77</v>
      </c>
      <c r="C46" s="11" t="s">
        <v>19</v>
      </c>
      <c r="D46" s="12">
        <v>300.0</v>
      </c>
      <c r="E46" s="19">
        <v>42.0</v>
      </c>
      <c r="F46" s="29">
        <v>78.0</v>
      </c>
      <c r="G46" s="29">
        <v>27.0</v>
      </c>
      <c r="H46" s="29">
        <v>147.0</v>
      </c>
      <c r="I46" s="29">
        <v>30.0</v>
      </c>
      <c r="J46" s="30">
        <f t="shared" si="23"/>
        <v>324</v>
      </c>
      <c r="K46" s="15">
        <f t="shared" si="16"/>
        <v>1.08</v>
      </c>
      <c r="L46" s="16">
        <f t="shared" si="17"/>
        <v>324</v>
      </c>
      <c r="M46" s="43">
        <f t="shared" si="18"/>
        <v>1.08</v>
      </c>
      <c r="N46" s="18">
        <v>21.0</v>
      </c>
      <c r="O46" s="18">
        <f t="shared" ref="O46:P46" si="28">O21</f>
        <v>21</v>
      </c>
      <c r="P46" s="20" t="str">
        <f t="shared" si="28"/>
        <v>as of April 30, 2025 - final</v>
      </c>
    </row>
    <row r="47">
      <c r="A47" s="10">
        <v>21.0</v>
      </c>
      <c r="B47" s="10" t="s">
        <v>73</v>
      </c>
      <c r="C47" s="11" t="s">
        <v>19</v>
      </c>
      <c r="D47" s="12">
        <v>1361.0</v>
      </c>
      <c r="E47" s="19">
        <v>129.0</v>
      </c>
      <c r="F47" s="29">
        <v>263.0</v>
      </c>
      <c r="G47" s="29">
        <v>112.0</v>
      </c>
      <c r="H47" s="32">
        <v>141.0</v>
      </c>
      <c r="I47" s="29">
        <v>199.0</v>
      </c>
      <c r="J47" s="30">
        <f t="shared" si="23"/>
        <v>844</v>
      </c>
      <c r="K47" s="15">
        <f t="shared" si="16"/>
        <v>0.6201322557</v>
      </c>
      <c r="L47" s="16">
        <f t="shared" si="17"/>
        <v>844</v>
      </c>
      <c r="M47" s="43">
        <f t="shared" si="18"/>
        <v>0.6201322557</v>
      </c>
      <c r="N47" s="18">
        <v>18.0</v>
      </c>
      <c r="O47" s="18">
        <v>18.0</v>
      </c>
      <c r="P47" s="20" t="s">
        <v>80</v>
      </c>
    </row>
    <row r="48">
      <c r="A48" s="10">
        <v>1.0</v>
      </c>
      <c r="B48" s="10" t="s">
        <v>43</v>
      </c>
      <c r="C48" s="11" t="s">
        <v>19</v>
      </c>
      <c r="D48" s="12">
        <v>25.0</v>
      </c>
      <c r="E48" s="12">
        <v>5.0</v>
      </c>
      <c r="F48" s="12">
        <v>6.0</v>
      </c>
      <c r="G48" s="12">
        <v>3.0</v>
      </c>
      <c r="H48" s="12">
        <v>8.0</v>
      </c>
      <c r="I48" s="12">
        <v>3.0</v>
      </c>
      <c r="J48" s="14">
        <f t="shared" si="23"/>
        <v>25</v>
      </c>
      <c r="K48" s="15">
        <f t="shared" si="16"/>
        <v>1</v>
      </c>
      <c r="L48" s="16">
        <f t="shared" si="17"/>
        <v>25</v>
      </c>
      <c r="M48" s="43">
        <f t="shared" si="18"/>
        <v>1</v>
      </c>
      <c r="N48" s="18">
        <v>20.0</v>
      </c>
      <c r="O48" s="18">
        <v>20.0</v>
      </c>
      <c r="P48" s="68" t="str">
        <f t="shared" ref="P48:P49" si="29">P23</f>
        <v>as of April 30, 2025 - final</v>
      </c>
    </row>
    <row r="49">
      <c r="A49" s="10">
        <v>45.0</v>
      </c>
      <c r="B49" s="10" t="s">
        <v>44</v>
      </c>
      <c r="C49" s="11" t="s">
        <v>19</v>
      </c>
      <c r="D49" s="21">
        <v>0.85</v>
      </c>
      <c r="E49" s="21">
        <v>0.92</v>
      </c>
      <c r="F49" s="24">
        <v>0.95</v>
      </c>
      <c r="G49" s="24">
        <v>0.98</v>
      </c>
      <c r="H49" s="24">
        <v>0.93</v>
      </c>
      <c r="I49" s="24">
        <v>0.94</v>
      </c>
      <c r="J49" s="57">
        <f>average(E49:I49)</f>
        <v>0.944</v>
      </c>
      <c r="K49" s="15">
        <f t="shared" si="16"/>
        <v>1.110588235</v>
      </c>
      <c r="L49" s="15">
        <v>0.9440000000000002</v>
      </c>
      <c r="M49" s="43">
        <f t="shared" si="18"/>
        <v>1.110588235</v>
      </c>
      <c r="N49" s="18">
        <v>30.0</v>
      </c>
      <c r="O49" s="18">
        <v>30.0</v>
      </c>
      <c r="P49" s="68" t="str">
        <f t="shared" si="29"/>
        <v>as of April 30, 2025 -final</v>
      </c>
    </row>
    <row r="50">
      <c r="A50" s="47"/>
      <c r="B50" s="48"/>
      <c r="C50" s="47"/>
      <c r="D50" s="49"/>
      <c r="E50" s="49"/>
      <c r="F50" s="50"/>
      <c r="G50" s="38"/>
      <c r="H50" s="36"/>
      <c r="I50" s="50"/>
      <c r="J50" s="50"/>
      <c r="K50" s="51"/>
      <c r="L50" s="52"/>
      <c r="M50" s="53"/>
      <c r="N50" s="54"/>
      <c r="O50" s="54"/>
    </row>
    <row r="51">
      <c r="A51" s="35"/>
      <c r="B51" s="35"/>
      <c r="C51" s="35"/>
      <c r="D51" s="38"/>
      <c r="E51" s="38"/>
      <c r="F51" s="38"/>
      <c r="G51" s="38"/>
      <c r="H51" s="38"/>
      <c r="I51" s="38"/>
      <c r="J51" s="38"/>
      <c r="K51" s="38"/>
      <c r="L51" s="38"/>
      <c r="M51" s="74"/>
      <c r="N51" s="38"/>
      <c r="O51" s="38"/>
    </row>
    <row r="52">
      <c r="A52" s="35"/>
      <c r="B52" s="35"/>
      <c r="C52" s="35"/>
      <c r="D52" s="38"/>
      <c r="E52" s="38"/>
      <c r="F52" s="36"/>
      <c r="G52" s="38"/>
      <c r="H52" s="38"/>
      <c r="I52" s="38"/>
      <c r="J52" s="55"/>
      <c r="K52" s="56"/>
      <c r="L52" s="38"/>
      <c r="M52" s="38"/>
      <c r="N52" s="38"/>
      <c r="O52" s="38"/>
    </row>
    <row r="53">
      <c r="A53" s="35"/>
      <c r="B53" s="35"/>
      <c r="C53" s="35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</row>
    <row r="54">
      <c r="A54" s="35"/>
      <c r="C54" s="35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</row>
    <row r="55">
      <c r="A55" s="35"/>
      <c r="B55" s="35"/>
      <c r="C55" s="35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</row>
    <row r="56">
      <c r="A56" s="35"/>
      <c r="B56" s="35"/>
      <c r="C56" s="35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</row>
    <row r="57">
      <c r="A57" s="35"/>
      <c r="B57" s="35"/>
      <c r="C57" s="35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</row>
    <row r="58">
      <c r="A58" s="35"/>
      <c r="B58" s="35"/>
      <c r="C58" s="35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</row>
    <row r="59">
      <c r="A59" s="35"/>
      <c r="B59" s="35"/>
      <c r="C59" s="35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</row>
    <row r="60">
      <c r="A60" s="35"/>
      <c r="B60" s="35"/>
      <c r="C60" s="35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</row>
    <row r="61">
      <c r="A61" s="35"/>
      <c r="B61" s="35"/>
      <c r="C61" s="35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</row>
    <row r="62">
      <c r="A62" s="35"/>
      <c r="B62" s="35"/>
      <c r="C62" s="35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</row>
    <row r="63">
      <c r="A63" s="35"/>
      <c r="B63" s="35"/>
      <c r="C63" s="35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</row>
    <row r="64">
      <c r="A64" s="35"/>
      <c r="B64" s="35"/>
      <c r="C64" s="35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</row>
    <row r="65">
      <c r="A65" s="35"/>
      <c r="B65" s="35"/>
      <c r="C65" s="35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</row>
    <row r="66">
      <c r="A66" s="35"/>
      <c r="B66" s="35"/>
      <c r="C66" s="35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</row>
    <row r="67">
      <c r="A67" s="35"/>
      <c r="B67" s="35"/>
      <c r="C67" s="35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</row>
    <row r="68">
      <c r="A68" s="35"/>
      <c r="B68" s="35"/>
      <c r="C68" s="35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</row>
    <row r="69">
      <c r="A69" s="35"/>
      <c r="B69" s="35"/>
      <c r="C69" s="35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</row>
    <row r="70">
      <c r="A70" s="35"/>
      <c r="B70" s="35"/>
      <c r="C70" s="35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</row>
    <row r="71">
      <c r="A71" s="35"/>
      <c r="B71" s="35"/>
      <c r="C71" s="35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</row>
    <row r="72">
      <c r="A72" s="35"/>
      <c r="B72" s="35"/>
      <c r="C72" s="35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</row>
    <row r="73">
      <c r="A73" s="35"/>
      <c r="B73" s="35"/>
      <c r="C73" s="35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</row>
    <row r="74">
      <c r="A74" s="35"/>
      <c r="B74" s="35"/>
      <c r="C74" s="35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</row>
    <row r="75">
      <c r="A75" s="35"/>
      <c r="B75" s="35"/>
      <c r="C75" s="35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</row>
    <row r="76">
      <c r="A76" s="35"/>
      <c r="B76" s="35"/>
      <c r="C76" s="35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</row>
    <row r="77">
      <c r="A77" s="35"/>
      <c r="B77" s="35"/>
      <c r="C77" s="35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</row>
    <row r="78">
      <c r="A78" s="35"/>
      <c r="B78" s="35"/>
      <c r="C78" s="35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</row>
    <row r="79">
      <c r="A79" s="35"/>
      <c r="B79" s="35"/>
      <c r="C79" s="35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</row>
    <row r="80">
      <c r="A80" s="35"/>
      <c r="B80" s="35"/>
      <c r="C80" s="35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</row>
    <row r="81">
      <c r="A81" s="35"/>
      <c r="B81" s="35"/>
      <c r="C81" s="35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</row>
    <row r="82">
      <c r="A82" s="35"/>
      <c r="B82" s="35"/>
      <c r="C82" s="35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</row>
    <row r="83">
      <c r="A83" s="35"/>
      <c r="B83" s="35"/>
      <c r="C83" s="35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</row>
    <row r="84">
      <c r="A84" s="35"/>
      <c r="B84" s="35"/>
      <c r="C84" s="35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</row>
    <row r="85">
      <c r="A85" s="35"/>
      <c r="B85" s="35"/>
      <c r="C85" s="35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</row>
    <row r="86">
      <c r="A86" s="35"/>
      <c r="B86" s="35"/>
      <c r="C86" s="35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</row>
    <row r="87">
      <c r="A87" s="35"/>
      <c r="B87" s="35"/>
      <c r="C87" s="35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</row>
    <row r="88">
      <c r="A88" s="35"/>
      <c r="B88" s="35"/>
      <c r="C88" s="35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</row>
    <row r="89">
      <c r="A89" s="35"/>
      <c r="B89" s="35"/>
      <c r="C89" s="35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</row>
    <row r="90">
      <c r="A90" s="35"/>
      <c r="B90" s="35"/>
      <c r="C90" s="35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</row>
    <row r="91">
      <c r="A91" s="35"/>
      <c r="B91" s="35"/>
      <c r="C91" s="35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</row>
    <row r="92">
      <c r="A92" s="35"/>
      <c r="B92" s="35"/>
      <c r="C92" s="35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</row>
    <row r="93">
      <c r="A93" s="35"/>
      <c r="B93" s="35"/>
      <c r="C93" s="35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</row>
    <row r="94">
      <c r="A94" s="35"/>
      <c r="B94" s="35"/>
      <c r="C94" s="35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</row>
    <row r="95">
      <c r="A95" s="35"/>
      <c r="B95" s="35"/>
      <c r="C95" s="35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</row>
    <row r="96">
      <c r="A96" s="35"/>
      <c r="B96" s="35"/>
      <c r="C96" s="35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</row>
    <row r="97">
      <c r="A97" s="35"/>
      <c r="B97" s="35"/>
      <c r="C97" s="35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</row>
    <row r="98">
      <c r="A98" s="35"/>
      <c r="B98" s="35"/>
      <c r="C98" s="35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</row>
    <row r="99">
      <c r="A99" s="35"/>
      <c r="B99" s="35"/>
      <c r="C99" s="35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</row>
    <row r="100">
      <c r="A100" s="35"/>
      <c r="B100" s="35"/>
      <c r="C100" s="35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</row>
    <row r="101">
      <c r="A101" s="35"/>
      <c r="B101" s="35"/>
      <c r="C101" s="35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</row>
    <row r="102">
      <c r="A102" s="35"/>
      <c r="B102" s="35"/>
      <c r="C102" s="35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</row>
    <row r="103">
      <c r="A103" s="35"/>
      <c r="B103" s="35"/>
      <c r="C103" s="35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</row>
    <row r="104">
      <c r="A104" s="35"/>
      <c r="B104" s="35"/>
      <c r="C104" s="35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</row>
    <row r="105">
      <c r="A105" s="35"/>
      <c r="B105" s="35"/>
      <c r="C105" s="35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</row>
    <row r="106">
      <c r="A106" s="35"/>
      <c r="B106" s="35"/>
      <c r="C106" s="35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</row>
    <row r="107">
      <c r="A107" s="35"/>
      <c r="B107" s="35"/>
      <c r="C107" s="35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</row>
    <row r="108">
      <c r="A108" s="35"/>
      <c r="B108" s="35"/>
      <c r="C108" s="35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</row>
    <row r="109">
      <c r="A109" s="35"/>
      <c r="B109" s="35"/>
      <c r="C109" s="35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</row>
    <row r="110">
      <c r="A110" s="35"/>
      <c r="B110" s="35"/>
      <c r="C110" s="35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</row>
    <row r="111">
      <c r="A111" s="35"/>
      <c r="B111" s="35"/>
      <c r="C111" s="35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</row>
    <row r="112">
      <c r="A112" s="35"/>
      <c r="B112" s="35"/>
      <c r="C112" s="35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</row>
    <row r="113">
      <c r="A113" s="35"/>
      <c r="B113" s="35"/>
      <c r="C113" s="35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</row>
    <row r="114">
      <c r="A114" s="35"/>
      <c r="B114" s="35"/>
      <c r="C114" s="35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</row>
    <row r="115">
      <c r="A115" s="35"/>
      <c r="B115" s="35"/>
      <c r="C115" s="35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</row>
    <row r="116">
      <c r="A116" s="35"/>
      <c r="B116" s="35"/>
      <c r="C116" s="35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</row>
    <row r="117">
      <c r="A117" s="35"/>
      <c r="B117" s="35"/>
      <c r="C117" s="35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</row>
    <row r="118">
      <c r="A118" s="35"/>
      <c r="B118" s="35"/>
      <c r="C118" s="35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</row>
    <row r="119">
      <c r="A119" s="35"/>
      <c r="B119" s="35"/>
      <c r="C119" s="35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</row>
    <row r="120">
      <c r="A120" s="35"/>
      <c r="B120" s="35"/>
      <c r="C120" s="35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</row>
    <row r="121">
      <c r="A121" s="35"/>
      <c r="B121" s="35"/>
      <c r="C121" s="35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</row>
    <row r="122">
      <c r="A122" s="35"/>
      <c r="B122" s="35"/>
      <c r="C122" s="35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</row>
    <row r="123">
      <c r="A123" s="35"/>
      <c r="B123" s="35"/>
      <c r="C123" s="35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</row>
    <row r="124">
      <c r="A124" s="35"/>
      <c r="B124" s="35"/>
      <c r="C124" s="35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</row>
    <row r="125">
      <c r="A125" s="35"/>
      <c r="B125" s="35"/>
      <c r="C125" s="35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</row>
    <row r="126">
      <c r="A126" s="35"/>
      <c r="B126" s="35"/>
      <c r="C126" s="35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</row>
    <row r="127">
      <c r="A127" s="35"/>
      <c r="B127" s="35"/>
      <c r="C127" s="35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</row>
    <row r="128">
      <c r="A128" s="35"/>
      <c r="B128" s="35"/>
      <c r="C128" s="35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</row>
    <row r="129">
      <c r="A129" s="35"/>
      <c r="B129" s="35"/>
      <c r="C129" s="35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</row>
    <row r="130">
      <c r="A130" s="35"/>
      <c r="B130" s="35"/>
      <c r="C130" s="35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</row>
    <row r="131">
      <c r="A131" s="35"/>
      <c r="B131" s="35"/>
      <c r="C131" s="35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</row>
    <row r="132">
      <c r="A132" s="35"/>
      <c r="B132" s="35"/>
      <c r="C132" s="35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</row>
    <row r="133">
      <c r="A133" s="35"/>
      <c r="B133" s="35"/>
      <c r="C133" s="35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</row>
    <row r="134">
      <c r="A134" s="35"/>
      <c r="B134" s="35"/>
      <c r="C134" s="35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</row>
    <row r="135">
      <c r="A135" s="35"/>
      <c r="B135" s="35"/>
      <c r="C135" s="35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</row>
    <row r="136">
      <c r="A136" s="35"/>
      <c r="B136" s="35"/>
      <c r="C136" s="35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</row>
    <row r="137">
      <c r="A137" s="35"/>
      <c r="B137" s="35"/>
      <c r="C137" s="35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</row>
    <row r="138">
      <c r="A138" s="35"/>
      <c r="B138" s="35"/>
      <c r="C138" s="35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</row>
    <row r="139">
      <c r="A139" s="35"/>
      <c r="B139" s="35"/>
      <c r="C139" s="35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</row>
    <row r="140">
      <c r="A140" s="35"/>
      <c r="B140" s="35"/>
      <c r="C140" s="35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</row>
    <row r="141">
      <c r="A141" s="35"/>
      <c r="B141" s="35"/>
      <c r="C141" s="35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</row>
    <row r="142">
      <c r="A142" s="35"/>
      <c r="B142" s="35"/>
      <c r="C142" s="35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</row>
    <row r="143">
      <c r="A143" s="35"/>
      <c r="B143" s="35"/>
      <c r="C143" s="35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</row>
    <row r="144">
      <c r="A144" s="35"/>
      <c r="B144" s="35"/>
      <c r="C144" s="35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</row>
    <row r="145">
      <c r="A145" s="35"/>
      <c r="B145" s="35"/>
      <c r="C145" s="35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</row>
    <row r="146">
      <c r="A146" s="35"/>
      <c r="B146" s="35"/>
      <c r="C146" s="35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</row>
    <row r="147">
      <c r="A147" s="35"/>
      <c r="B147" s="35"/>
      <c r="C147" s="35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</row>
    <row r="148">
      <c r="A148" s="35"/>
      <c r="B148" s="35"/>
      <c r="C148" s="35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</row>
    <row r="149">
      <c r="A149" s="35"/>
      <c r="B149" s="35"/>
      <c r="C149" s="35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</row>
    <row r="150">
      <c r="A150" s="35"/>
      <c r="B150" s="35"/>
      <c r="C150" s="35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</row>
    <row r="151">
      <c r="A151" s="35"/>
      <c r="B151" s="35"/>
      <c r="C151" s="35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</row>
    <row r="152">
      <c r="A152" s="35"/>
      <c r="B152" s="35"/>
      <c r="C152" s="35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</row>
    <row r="153">
      <c r="A153" s="35"/>
      <c r="B153" s="35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</row>
    <row r="154">
      <c r="A154" s="35"/>
      <c r="B154" s="35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</row>
    <row r="155">
      <c r="A155" s="35"/>
      <c r="B155" s="35"/>
      <c r="C155" s="35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</row>
    <row r="156">
      <c r="A156" s="35"/>
      <c r="B156" s="35"/>
      <c r="C156" s="35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</row>
    <row r="157">
      <c r="A157" s="35"/>
      <c r="B157" s="35"/>
      <c r="C157" s="35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</row>
    <row r="158">
      <c r="A158" s="35"/>
      <c r="B158" s="35"/>
      <c r="C158" s="35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</row>
    <row r="159">
      <c r="A159" s="35"/>
      <c r="B159" s="35"/>
      <c r="C159" s="35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</row>
    <row r="160">
      <c r="A160" s="35"/>
      <c r="B160" s="35"/>
      <c r="C160" s="35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</row>
    <row r="161">
      <c r="A161" s="35"/>
      <c r="B161" s="35"/>
      <c r="C161" s="35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</row>
    <row r="162">
      <c r="A162" s="35"/>
      <c r="B162" s="35"/>
      <c r="C162" s="35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</row>
    <row r="163">
      <c r="A163" s="35"/>
      <c r="B163" s="35"/>
      <c r="C163" s="35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</row>
    <row r="164">
      <c r="A164" s="35"/>
      <c r="B164" s="35"/>
      <c r="C164" s="35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</row>
    <row r="165">
      <c r="A165" s="35"/>
      <c r="B165" s="35"/>
      <c r="C165" s="35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</row>
    <row r="166">
      <c r="A166" s="35"/>
      <c r="B166" s="35"/>
      <c r="C166" s="35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</row>
    <row r="167">
      <c r="A167" s="35"/>
      <c r="B167" s="35"/>
      <c r="C167" s="35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</row>
    <row r="168">
      <c r="A168" s="35"/>
      <c r="B168" s="35"/>
      <c r="C168" s="35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</row>
    <row r="169">
      <c r="A169" s="35"/>
      <c r="B169" s="35"/>
      <c r="C169" s="35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</row>
    <row r="170">
      <c r="A170" s="35"/>
      <c r="B170" s="35"/>
      <c r="C170" s="35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</row>
    <row r="171">
      <c r="A171" s="35"/>
      <c r="B171" s="35"/>
      <c r="C171" s="35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</row>
    <row r="172">
      <c r="A172" s="35"/>
      <c r="B172" s="35"/>
      <c r="C172" s="35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</row>
    <row r="173">
      <c r="A173" s="35"/>
      <c r="B173" s="35"/>
      <c r="C173" s="35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</row>
    <row r="174">
      <c r="A174" s="35"/>
      <c r="B174" s="35"/>
      <c r="C174" s="35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</row>
    <row r="175">
      <c r="A175" s="35"/>
      <c r="B175" s="35"/>
      <c r="C175" s="35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</row>
    <row r="176">
      <c r="A176" s="35"/>
      <c r="B176" s="35"/>
      <c r="C176" s="35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</row>
    <row r="177">
      <c r="A177" s="35"/>
      <c r="B177" s="35"/>
      <c r="C177" s="35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</row>
    <row r="178">
      <c r="A178" s="35"/>
      <c r="B178" s="35"/>
      <c r="C178" s="35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</row>
    <row r="179">
      <c r="A179" s="35"/>
      <c r="B179" s="35"/>
      <c r="C179" s="35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</row>
    <row r="180">
      <c r="A180" s="35"/>
      <c r="B180" s="35"/>
      <c r="C180" s="35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</row>
    <row r="181">
      <c r="A181" s="35"/>
      <c r="B181" s="35"/>
      <c r="C181" s="35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</row>
    <row r="182">
      <c r="A182" s="35"/>
      <c r="B182" s="35"/>
      <c r="C182" s="35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</row>
    <row r="183">
      <c r="A183" s="35"/>
      <c r="B183" s="35"/>
      <c r="C183" s="35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</row>
    <row r="184">
      <c r="A184" s="35"/>
      <c r="B184" s="35"/>
      <c r="C184" s="35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</row>
    <row r="185">
      <c r="A185" s="35"/>
      <c r="B185" s="35"/>
      <c r="C185" s="35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</row>
    <row r="186">
      <c r="A186" s="35"/>
      <c r="B186" s="35"/>
      <c r="C186" s="35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</row>
    <row r="187">
      <c r="A187" s="35"/>
      <c r="B187" s="35"/>
      <c r="C187" s="35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</row>
    <row r="188">
      <c r="A188" s="35"/>
      <c r="B188" s="35"/>
      <c r="C188" s="35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</row>
    <row r="189">
      <c r="A189" s="35"/>
      <c r="B189" s="35"/>
      <c r="C189" s="35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</row>
    <row r="190">
      <c r="A190" s="35"/>
      <c r="B190" s="35"/>
      <c r="C190" s="35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</row>
    <row r="191">
      <c r="A191" s="35"/>
      <c r="B191" s="35"/>
      <c r="C191" s="35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</row>
    <row r="192">
      <c r="A192" s="35"/>
      <c r="B192" s="35"/>
      <c r="C192" s="35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</row>
    <row r="193">
      <c r="A193" s="35"/>
      <c r="B193" s="35"/>
      <c r="C193" s="35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</row>
    <row r="194">
      <c r="A194" s="35"/>
      <c r="B194" s="35"/>
      <c r="C194" s="35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</row>
    <row r="195">
      <c r="A195" s="35"/>
      <c r="B195" s="35"/>
      <c r="C195" s="35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</row>
    <row r="196">
      <c r="A196" s="35"/>
      <c r="B196" s="35"/>
      <c r="C196" s="35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</row>
    <row r="197">
      <c r="A197" s="35"/>
      <c r="B197" s="35"/>
      <c r="C197" s="35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</row>
    <row r="198">
      <c r="A198" s="35"/>
      <c r="B198" s="35"/>
      <c r="C198" s="35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</row>
    <row r="199">
      <c r="A199" s="35"/>
      <c r="B199" s="35"/>
      <c r="C199" s="35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</row>
    <row r="200">
      <c r="A200" s="35"/>
      <c r="B200" s="35"/>
      <c r="C200" s="35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</row>
    <row r="201">
      <c r="A201" s="35"/>
      <c r="B201" s="35"/>
      <c r="C201" s="35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</row>
    <row r="202">
      <c r="A202" s="35"/>
      <c r="B202" s="35"/>
      <c r="C202" s="35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</row>
    <row r="203">
      <c r="A203" s="35"/>
      <c r="B203" s="35"/>
      <c r="C203" s="35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</row>
    <row r="204">
      <c r="A204" s="35"/>
      <c r="B204" s="35"/>
      <c r="C204" s="35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</row>
    <row r="205">
      <c r="A205" s="35"/>
      <c r="B205" s="35"/>
      <c r="C205" s="35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</row>
    <row r="206">
      <c r="A206" s="35"/>
      <c r="B206" s="35"/>
      <c r="C206" s="35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</row>
    <row r="207">
      <c r="A207" s="35"/>
      <c r="B207" s="35"/>
      <c r="C207" s="35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</row>
    <row r="208">
      <c r="A208" s="35"/>
      <c r="B208" s="35"/>
      <c r="C208" s="35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</row>
    <row r="209">
      <c r="A209" s="35"/>
      <c r="B209" s="35"/>
      <c r="C209" s="35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</row>
    <row r="210">
      <c r="A210" s="35"/>
      <c r="B210" s="35"/>
      <c r="C210" s="35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</row>
    <row r="211">
      <c r="A211" s="35"/>
      <c r="B211" s="35"/>
      <c r="C211" s="35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</row>
    <row r="212">
      <c r="A212" s="35"/>
      <c r="B212" s="35"/>
      <c r="C212" s="35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</row>
    <row r="213">
      <c r="A213" s="35"/>
      <c r="B213" s="35"/>
      <c r="C213" s="35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</row>
    <row r="214">
      <c r="A214" s="35"/>
      <c r="B214" s="35"/>
      <c r="C214" s="35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</row>
    <row r="215">
      <c r="A215" s="35"/>
      <c r="B215" s="35"/>
      <c r="C215" s="35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</row>
    <row r="216">
      <c r="A216" s="35"/>
      <c r="B216" s="35"/>
      <c r="C216" s="35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</row>
    <row r="217">
      <c r="A217" s="35"/>
      <c r="B217" s="35"/>
      <c r="C217" s="35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</row>
    <row r="218">
      <c r="A218" s="35"/>
      <c r="B218" s="35"/>
      <c r="C218" s="35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</row>
    <row r="219">
      <c r="A219" s="35"/>
      <c r="B219" s="35"/>
      <c r="C219" s="35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</row>
    <row r="220">
      <c r="A220" s="35"/>
      <c r="B220" s="35"/>
      <c r="C220" s="35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</row>
    <row r="221">
      <c r="A221" s="35"/>
      <c r="B221" s="35"/>
      <c r="C221" s="35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</row>
    <row r="222">
      <c r="A222" s="35"/>
      <c r="B222" s="35"/>
      <c r="C222" s="35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</row>
    <row r="223">
      <c r="A223" s="35"/>
      <c r="B223" s="35"/>
      <c r="C223" s="35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</row>
    <row r="224">
      <c r="A224" s="35"/>
      <c r="B224" s="35"/>
      <c r="C224" s="35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</row>
    <row r="225">
      <c r="A225" s="35"/>
      <c r="B225" s="35"/>
      <c r="C225" s="35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</row>
    <row r="226">
      <c r="A226" s="35"/>
      <c r="B226" s="35"/>
      <c r="C226" s="35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</row>
    <row r="227">
      <c r="A227" s="35"/>
      <c r="B227" s="35"/>
      <c r="C227" s="35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</row>
    <row r="228">
      <c r="A228" s="35"/>
      <c r="B228" s="35"/>
      <c r="C228" s="35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</row>
    <row r="229">
      <c r="A229" s="35"/>
      <c r="B229" s="35"/>
      <c r="C229" s="35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</row>
    <row r="230">
      <c r="A230" s="35"/>
      <c r="B230" s="35"/>
      <c r="C230" s="35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</row>
    <row r="231">
      <c r="A231" s="35"/>
      <c r="B231" s="35"/>
      <c r="C231" s="35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</row>
    <row r="232">
      <c r="A232" s="35"/>
      <c r="B232" s="35"/>
      <c r="C232" s="35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</row>
    <row r="233">
      <c r="A233" s="35"/>
      <c r="B233" s="35"/>
      <c r="C233" s="35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</row>
    <row r="234">
      <c r="A234" s="35"/>
      <c r="B234" s="35"/>
      <c r="C234" s="35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</row>
    <row r="235">
      <c r="A235" s="35"/>
      <c r="B235" s="35"/>
      <c r="C235" s="35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</row>
    <row r="236">
      <c r="A236" s="35"/>
      <c r="B236" s="35"/>
      <c r="C236" s="35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</row>
    <row r="237">
      <c r="A237" s="35"/>
      <c r="B237" s="35"/>
      <c r="C237" s="35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</row>
    <row r="238">
      <c r="A238" s="35"/>
      <c r="B238" s="35"/>
      <c r="C238" s="35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</row>
    <row r="239">
      <c r="A239" s="35"/>
      <c r="B239" s="35"/>
      <c r="C239" s="35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</row>
    <row r="240">
      <c r="A240" s="35"/>
      <c r="B240" s="35"/>
      <c r="C240" s="35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</row>
    <row r="241">
      <c r="A241" s="35"/>
      <c r="B241" s="35"/>
      <c r="C241" s="35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</row>
    <row r="242">
      <c r="A242" s="35"/>
      <c r="B242" s="35"/>
      <c r="C242" s="35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</row>
    <row r="243">
      <c r="A243" s="35"/>
      <c r="B243" s="35"/>
      <c r="C243" s="35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</row>
    <row r="244">
      <c r="A244" s="35"/>
      <c r="B244" s="35"/>
      <c r="C244" s="35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</row>
    <row r="245">
      <c r="A245" s="35"/>
      <c r="B245" s="35"/>
      <c r="C245" s="35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</row>
    <row r="246">
      <c r="A246" s="35"/>
      <c r="B246" s="35"/>
      <c r="C246" s="35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</row>
    <row r="247">
      <c r="A247" s="35"/>
      <c r="B247" s="35"/>
      <c r="C247" s="35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</row>
    <row r="248">
      <c r="A248" s="35"/>
      <c r="B248" s="35"/>
      <c r="C248" s="35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</row>
    <row r="249">
      <c r="A249" s="35"/>
      <c r="B249" s="35"/>
      <c r="C249" s="35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</row>
    <row r="250">
      <c r="A250" s="35"/>
      <c r="B250" s="35"/>
      <c r="C250" s="35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</row>
    <row r="251">
      <c r="A251" s="35"/>
      <c r="B251" s="35"/>
      <c r="C251" s="35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</row>
    <row r="252">
      <c r="A252" s="35"/>
      <c r="B252" s="35"/>
      <c r="C252" s="35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</row>
    <row r="253">
      <c r="A253" s="35"/>
      <c r="B253" s="35"/>
      <c r="C253" s="35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</row>
    <row r="254">
      <c r="A254" s="35"/>
      <c r="B254" s="35"/>
      <c r="C254" s="35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</row>
    <row r="255">
      <c r="A255" s="35"/>
      <c r="B255" s="35"/>
      <c r="C255" s="35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</row>
    <row r="256">
      <c r="A256" s="35"/>
      <c r="B256" s="35"/>
      <c r="C256" s="35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</row>
    <row r="257">
      <c r="A257" s="35"/>
      <c r="B257" s="35"/>
      <c r="C257" s="35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</row>
    <row r="258">
      <c r="A258" s="35"/>
      <c r="B258" s="35"/>
      <c r="C258" s="35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</row>
    <row r="259">
      <c r="A259" s="35"/>
      <c r="B259" s="35"/>
      <c r="C259" s="35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</row>
    <row r="260">
      <c r="A260" s="35"/>
      <c r="B260" s="35"/>
      <c r="C260" s="35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</row>
    <row r="261">
      <c r="A261" s="35"/>
      <c r="B261" s="35"/>
      <c r="C261" s="35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</row>
    <row r="262">
      <c r="A262" s="35"/>
      <c r="B262" s="35"/>
      <c r="C262" s="35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</row>
    <row r="263">
      <c r="A263" s="35"/>
      <c r="B263" s="35"/>
      <c r="C263" s="35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</row>
    <row r="264">
      <c r="A264" s="35"/>
      <c r="B264" s="35"/>
      <c r="C264" s="35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</row>
    <row r="265">
      <c r="A265" s="35"/>
      <c r="B265" s="35"/>
      <c r="C265" s="35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</row>
    <row r="266">
      <c r="A266" s="35"/>
      <c r="B266" s="35"/>
      <c r="C266" s="35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</row>
    <row r="267">
      <c r="A267" s="35"/>
      <c r="B267" s="35"/>
      <c r="C267" s="35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</row>
    <row r="268">
      <c r="A268" s="35"/>
      <c r="B268" s="35"/>
      <c r="C268" s="35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</row>
    <row r="269">
      <c r="A269" s="35"/>
      <c r="B269" s="35"/>
      <c r="C269" s="35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</row>
    <row r="270">
      <c r="A270" s="35"/>
      <c r="B270" s="35"/>
      <c r="C270" s="35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</row>
    <row r="271">
      <c r="A271" s="35"/>
      <c r="B271" s="35"/>
      <c r="C271" s="35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</row>
    <row r="272">
      <c r="A272" s="35"/>
      <c r="B272" s="35"/>
      <c r="C272" s="35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</row>
    <row r="273">
      <c r="A273" s="35"/>
      <c r="B273" s="35"/>
      <c r="C273" s="35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</row>
    <row r="274">
      <c r="A274" s="35"/>
      <c r="B274" s="35"/>
      <c r="C274" s="35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</row>
    <row r="275">
      <c r="A275" s="35"/>
      <c r="B275" s="35"/>
      <c r="C275" s="35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</row>
    <row r="276">
      <c r="A276" s="35"/>
      <c r="B276" s="35"/>
      <c r="C276" s="35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</row>
    <row r="277">
      <c r="A277" s="35"/>
      <c r="B277" s="35"/>
      <c r="C277" s="35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</row>
    <row r="278">
      <c r="A278" s="35"/>
      <c r="B278" s="35"/>
      <c r="C278" s="35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</row>
    <row r="279">
      <c r="A279" s="35"/>
      <c r="B279" s="35"/>
      <c r="C279" s="35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</row>
    <row r="280">
      <c r="A280" s="35"/>
      <c r="B280" s="35"/>
      <c r="C280" s="35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</row>
    <row r="281">
      <c r="A281" s="35"/>
      <c r="B281" s="35"/>
      <c r="C281" s="35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</row>
    <row r="282">
      <c r="A282" s="35"/>
      <c r="B282" s="35"/>
      <c r="C282" s="35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</row>
    <row r="283">
      <c r="A283" s="35"/>
      <c r="B283" s="35"/>
      <c r="C283" s="35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</row>
    <row r="284">
      <c r="A284" s="35"/>
      <c r="B284" s="35"/>
      <c r="C284" s="35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</row>
    <row r="285">
      <c r="A285" s="35"/>
      <c r="B285" s="35"/>
      <c r="C285" s="35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</row>
    <row r="286">
      <c r="A286" s="35"/>
      <c r="B286" s="35"/>
      <c r="C286" s="35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</row>
    <row r="287">
      <c r="A287" s="35"/>
      <c r="B287" s="35"/>
      <c r="C287" s="35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</row>
    <row r="288">
      <c r="A288" s="35"/>
      <c r="B288" s="35"/>
      <c r="C288" s="35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</row>
    <row r="289">
      <c r="A289" s="35"/>
      <c r="B289" s="35"/>
      <c r="C289" s="35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</row>
    <row r="290">
      <c r="A290" s="35"/>
      <c r="B290" s="35"/>
      <c r="C290" s="35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</row>
    <row r="291">
      <c r="A291" s="35"/>
      <c r="B291" s="35"/>
      <c r="C291" s="35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</row>
    <row r="292">
      <c r="A292" s="35"/>
      <c r="B292" s="35"/>
      <c r="C292" s="35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</row>
    <row r="293">
      <c r="A293" s="35"/>
      <c r="B293" s="35"/>
      <c r="C293" s="35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</row>
    <row r="294">
      <c r="A294" s="35"/>
      <c r="B294" s="35"/>
      <c r="C294" s="35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</row>
    <row r="295">
      <c r="A295" s="35"/>
      <c r="B295" s="35"/>
      <c r="C295" s="35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</row>
    <row r="296">
      <c r="A296" s="35"/>
      <c r="B296" s="35"/>
      <c r="C296" s="35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</row>
    <row r="297">
      <c r="A297" s="35"/>
      <c r="B297" s="35"/>
      <c r="C297" s="35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</row>
    <row r="298">
      <c r="A298" s="35"/>
      <c r="B298" s="35"/>
      <c r="C298" s="35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</row>
    <row r="299">
      <c r="A299" s="35"/>
      <c r="B299" s="35"/>
      <c r="C299" s="35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</row>
    <row r="300">
      <c r="A300" s="35"/>
      <c r="B300" s="35"/>
      <c r="C300" s="35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</row>
    <row r="301">
      <c r="A301" s="35"/>
      <c r="B301" s="35"/>
      <c r="C301" s="35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</row>
    <row r="302">
      <c r="A302" s="35"/>
      <c r="B302" s="35"/>
      <c r="C302" s="35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</row>
    <row r="303">
      <c r="A303" s="35"/>
      <c r="B303" s="35"/>
      <c r="C303" s="35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</row>
    <row r="304">
      <c r="A304" s="35"/>
      <c r="B304" s="35"/>
      <c r="C304" s="35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</row>
    <row r="305">
      <c r="A305" s="35"/>
      <c r="B305" s="35"/>
      <c r="C305" s="35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</row>
    <row r="306">
      <c r="A306" s="35"/>
      <c r="B306" s="35"/>
      <c r="C306" s="35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</row>
    <row r="307">
      <c r="A307" s="35"/>
      <c r="B307" s="35"/>
      <c r="C307" s="35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</row>
    <row r="308">
      <c r="A308" s="35"/>
      <c r="B308" s="35"/>
      <c r="C308" s="35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</row>
    <row r="309">
      <c r="A309" s="35"/>
      <c r="B309" s="35"/>
      <c r="C309" s="35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</row>
    <row r="310">
      <c r="A310" s="35"/>
      <c r="B310" s="35"/>
      <c r="C310" s="35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</row>
    <row r="311">
      <c r="A311" s="35"/>
      <c r="B311" s="35"/>
      <c r="C311" s="35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</row>
    <row r="312">
      <c r="A312" s="35"/>
      <c r="B312" s="35"/>
      <c r="C312" s="35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</row>
    <row r="313">
      <c r="A313" s="35"/>
      <c r="B313" s="35"/>
      <c r="C313" s="35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</row>
    <row r="314">
      <c r="A314" s="35"/>
      <c r="B314" s="35"/>
      <c r="C314" s="35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</row>
    <row r="315">
      <c r="A315" s="35"/>
      <c r="B315" s="35"/>
      <c r="C315" s="35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</row>
    <row r="316">
      <c r="A316" s="35"/>
      <c r="B316" s="35"/>
      <c r="C316" s="35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</row>
    <row r="317">
      <c r="A317" s="35"/>
      <c r="B317" s="35"/>
      <c r="C317" s="35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</row>
    <row r="318">
      <c r="A318" s="35"/>
      <c r="B318" s="35"/>
      <c r="C318" s="35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</row>
    <row r="319">
      <c r="A319" s="35"/>
      <c r="B319" s="35"/>
      <c r="C319" s="35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</row>
    <row r="320">
      <c r="A320" s="35"/>
      <c r="B320" s="35"/>
      <c r="C320" s="35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</row>
    <row r="321">
      <c r="A321" s="35"/>
      <c r="B321" s="35"/>
      <c r="C321" s="35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</row>
    <row r="322">
      <c r="A322" s="35"/>
      <c r="B322" s="35"/>
      <c r="C322" s="35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</row>
    <row r="323">
      <c r="A323" s="35"/>
      <c r="B323" s="35"/>
      <c r="C323" s="35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</row>
    <row r="324">
      <c r="A324" s="35"/>
      <c r="B324" s="35"/>
      <c r="C324" s="35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</row>
    <row r="325">
      <c r="A325" s="35"/>
      <c r="B325" s="35"/>
      <c r="C325" s="35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</row>
    <row r="326">
      <c r="A326" s="35"/>
      <c r="B326" s="35"/>
      <c r="C326" s="35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</row>
    <row r="327">
      <c r="A327" s="35"/>
      <c r="B327" s="35"/>
      <c r="C327" s="35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</row>
    <row r="328">
      <c r="A328" s="35"/>
      <c r="B328" s="35"/>
      <c r="C328" s="35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</row>
    <row r="329">
      <c r="A329" s="35"/>
      <c r="B329" s="35"/>
      <c r="C329" s="35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</row>
    <row r="330">
      <c r="A330" s="35"/>
      <c r="B330" s="35"/>
      <c r="C330" s="35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</row>
    <row r="331">
      <c r="A331" s="35"/>
      <c r="B331" s="35"/>
      <c r="C331" s="35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</row>
    <row r="332">
      <c r="A332" s="35"/>
      <c r="B332" s="35"/>
      <c r="C332" s="35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</row>
    <row r="333">
      <c r="A333" s="35"/>
      <c r="B333" s="35"/>
      <c r="C333" s="35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</row>
    <row r="334">
      <c r="A334" s="35"/>
      <c r="B334" s="35"/>
      <c r="C334" s="35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</row>
    <row r="335">
      <c r="A335" s="35"/>
      <c r="B335" s="35"/>
      <c r="C335" s="35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</row>
    <row r="336">
      <c r="A336" s="35"/>
      <c r="B336" s="35"/>
      <c r="C336" s="35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</row>
    <row r="337">
      <c r="A337" s="35"/>
      <c r="B337" s="35"/>
      <c r="C337" s="35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</row>
    <row r="338">
      <c r="A338" s="35"/>
      <c r="B338" s="35"/>
      <c r="C338" s="35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</row>
    <row r="339">
      <c r="A339" s="35"/>
      <c r="B339" s="35"/>
      <c r="C339" s="35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</row>
    <row r="340">
      <c r="A340" s="35"/>
      <c r="B340" s="35"/>
      <c r="C340" s="35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</row>
    <row r="341">
      <c r="A341" s="35"/>
      <c r="B341" s="35"/>
      <c r="C341" s="35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</row>
    <row r="342">
      <c r="A342" s="35"/>
      <c r="B342" s="35"/>
      <c r="C342" s="35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</row>
    <row r="343">
      <c r="A343" s="35"/>
      <c r="B343" s="35"/>
      <c r="C343" s="35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</row>
    <row r="344">
      <c r="A344" s="35"/>
      <c r="B344" s="35"/>
      <c r="C344" s="35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</row>
    <row r="345">
      <c r="A345" s="35"/>
      <c r="B345" s="35"/>
      <c r="C345" s="35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</row>
    <row r="346">
      <c r="A346" s="35"/>
      <c r="B346" s="35"/>
      <c r="C346" s="35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</row>
    <row r="347">
      <c r="A347" s="35"/>
      <c r="B347" s="35"/>
      <c r="C347" s="35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</row>
    <row r="348">
      <c r="A348" s="35"/>
      <c r="B348" s="35"/>
      <c r="C348" s="35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</row>
    <row r="349">
      <c r="A349" s="35"/>
      <c r="B349" s="35"/>
      <c r="C349" s="35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</row>
    <row r="350">
      <c r="A350" s="35"/>
      <c r="B350" s="35"/>
      <c r="C350" s="35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</row>
    <row r="351">
      <c r="A351" s="35"/>
      <c r="B351" s="35"/>
      <c r="C351" s="35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</row>
    <row r="352">
      <c r="A352" s="35"/>
      <c r="B352" s="35"/>
      <c r="C352" s="35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</row>
    <row r="353">
      <c r="A353" s="35"/>
      <c r="B353" s="35"/>
      <c r="C353" s="35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</row>
    <row r="354">
      <c r="A354" s="35"/>
      <c r="B354" s="35"/>
      <c r="C354" s="35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</row>
    <row r="355">
      <c r="A355" s="35"/>
      <c r="B355" s="35"/>
      <c r="C355" s="35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</row>
    <row r="356">
      <c r="A356" s="35"/>
      <c r="B356" s="35"/>
      <c r="C356" s="35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</row>
    <row r="357">
      <c r="A357" s="35"/>
      <c r="B357" s="35"/>
      <c r="C357" s="35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</row>
    <row r="358">
      <c r="A358" s="35"/>
      <c r="B358" s="35"/>
      <c r="C358" s="35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</row>
    <row r="359">
      <c r="A359" s="35"/>
      <c r="B359" s="35"/>
      <c r="C359" s="35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</row>
    <row r="360">
      <c r="A360" s="35"/>
      <c r="B360" s="35"/>
      <c r="C360" s="35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</row>
    <row r="361">
      <c r="A361" s="35"/>
      <c r="B361" s="35"/>
      <c r="C361" s="35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</row>
    <row r="362">
      <c r="A362" s="35"/>
      <c r="B362" s="35"/>
      <c r="C362" s="35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</row>
    <row r="363">
      <c r="A363" s="35"/>
      <c r="B363" s="35"/>
      <c r="C363" s="35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</row>
    <row r="364">
      <c r="A364" s="35"/>
      <c r="B364" s="35"/>
      <c r="C364" s="35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</row>
    <row r="365">
      <c r="A365" s="35"/>
      <c r="B365" s="35"/>
      <c r="C365" s="35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</row>
    <row r="366">
      <c r="A366" s="35"/>
      <c r="B366" s="35"/>
      <c r="C366" s="35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</row>
    <row r="367">
      <c r="A367" s="35"/>
      <c r="B367" s="35"/>
      <c r="C367" s="35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</row>
    <row r="368">
      <c r="A368" s="35"/>
      <c r="B368" s="35"/>
      <c r="C368" s="35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</row>
    <row r="369">
      <c r="A369" s="35"/>
      <c r="B369" s="35"/>
      <c r="C369" s="35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</row>
    <row r="370">
      <c r="A370" s="35"/>
      <c r="B370" s="35"/>
      <c r="C370" s="35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</row>
    <row r="371">
      <c r="A371" s="35"/>
      <c r="B371" s="35"/>
      <c r="C371" s="35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</row>
    <row r="372">
      <c r="A372" s="35"/>
      <c r="B372" s="35"/>
      <c r="C372" s="35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</row>
    <row r="373">
      <c r="A373" s="35"/>
      <c r="B373" s="35"/>
      <c r="C373" s="35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</row>
    <row r="374">
      <c r="A374" s="35"/>
      <c r="B374" s="35"/>
      <c r="C374" s="35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</row>
    <row r="375">
      <c r="A375" s="35"/>
      <c r="B375" s="35"/>
      <c r="C375" s="35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</row>
    <row r="376">
      <c r="A376" s="35"/>
      <c r="B376" s="35"/>
      <c r="C376" s="35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</row>
    <row r="377">
      <c r="A377" s="35"/>
      <c r="B377" s="35"/>
      <c r="C377" s="35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</row>
    <row r="378">
      <c r="A378" s="35"/>
      <c r="B378" s="35"/>
      <c r="C378" s="35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</row>
    <row r="379">
      <c r="A379" s="35"/>
      <c r="B379" s="35"/>
      <c r="C379" s="35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</row>
    <row r="380">
      <c r="A380" s="35"/>
      <c r="B380" s="35"/>
      <c r="C380" s="35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</row>
    <row r="381">
      <c r="A381" s="35"/>
      <c r="B381" s="35"/>
      <c r="C381" s="35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</row>
    <row r="382">
      <c r="A382" s="35"/>
      <c r="B382" s="35"/>
      <c r="C382" s="35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</row>
    <row r="383">
      <c r="A383" s="35"/>
      <c r="B383" s="35"/>
      <c r="C383" s="35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</row>
    <row r="384">
      <c r="A384" s="35"/>
      <c r="B384" s="35"/>
      <c r="C384" s="35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</row>
    <row r="385">
      <c r="A385" s="35"/>
      <c r="B385" s="35"/>
      <c r="C385" s="35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</row>
    <row r="386">
      <c r="A386" s="35"/>
      <c r="B386" s="35"/>
      <c r="C386" s="35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</row>
    <row r="387">
      <c r="A387" s="35"/>
      <c r="B387" s="35"/>
      <c r="C387" s="35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</row>
    <row r="388">
      <c r="A388" s="35"/>
      <c r="B388" s="35"/>
      <c r="C388" s="35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</row>
    <row r="389">
      <c r="A389" s="35"/>
      <c r="B389" s="35"/>
      <c r="C389" s="35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</row>
    <row r="390">
      <c r="A390" s="35"/>
      <c r="B390" s="35"/>
      <c r="C390" s="35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</row>
    <row r="391">
      <c r="A391" s="35"/>
      <c r="B391" s="35"/>
      <c r="C391" s="35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</row>
    <row r="392">
      <c r="A392" s="35"/>
      <c r="B392" s="35"/>
      <c r="C392" s="35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</row>
    <row r="393">
      <c r="A393" s="35"/>
      <c r="B393" s="35"/>
      <c r="C393" s="35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</row>
    <row r="394">
      <c r="A394" s="35"/>
      <c r="B394" s="35"/>
      <c r="C394" s="35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</row>
    <row r="395">
      <c r="A395" s="35"/>
      <c r="B395" s="35"/>
      <c r="C395" s="35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</row>
    <row r="396">
      <c r="A396" s="35"/>
      <c r="B396" s="35"/>
      <c r="C396" s="35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</row>
    <row r="397">
      <c r="A397" s="35"/>
      <c r="B397" s="35"/>
      <c r="C397" s="35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</row>
    <row r="398">
      <c r="A398" s="35"/>
      <c r="B398" s="35"/>
      <c r="C398" s="35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</row>
    <row r="399">
      <c r="A399" s="35"/>
      <c r="B399" s="35"/>
      <c r="C399" s="35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</row>
    <row r="400">
      <c r="A400" s="35"/>
      <c r="B400" s="35"/>
      <c r="C400" s="35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</row>
    <row r="401">
      <c r="A401" s="35"/>
      <c r="B401" s="35"/>
      <c r="C401" s="35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</row>
    <row r="402">
      <c r="A402" s="35"/>
      <c r="B402" s="35"/>
      <c r="C402" s="35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</row>
    <row r="403">
      <c r="A403" s="35"/>
      <c r="B403" s="35"/>
      <c r="C403" s="35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</row>
    <row r="404">
      <c r="A404" s="35"/>
      <c r="B404" s="35"/>
      <c r="C404" s="35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</row>
    <row r="405">
      <c r="A405" s="35"/>
      <c r="B405" s="35"/>
      <c r="C405" s="35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</row>
    <row r="406">
      <c r="A406" s="35"/>
      <c r="B406" s="35"/>
      <c r="C406" s="35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</row>
    <row r="407">
      <c r="A407" s="35"/>
      <c r="B407" s="35"/>
      <c r="C407" s="35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</row>
    <row r="408">
      <c r="A408" s="35"/>
      <c r="B408" s="35"/>
      <c r="C408" s="35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</row>
    <row r="409">
      <c r="A409" s="35"/>
      <c r="B409" s="35"/>
      <c r="C409" s="35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</row>
    <row r="410">
      <c r="A410" s="35"/>
      <c r="B410" s="35"/>
      <c r="C410" s="35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</row>
    <row r="411">
      <c r="A411" s="35"/>
      <c r="B411" s="35"/>
      <c r="C411" s="35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</row>
    <row r="412">
      <c r="A412" s="35"/>
      <c r="B412" s="35"/>
      <c r="C412" s="35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</row>
    <row r="413">
      <c r="A413" s="35"/>
      <c r="B413" s="35"/>
      <c r="C413" s="35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</row>
    <row r="414">
      <c r="A414" s="35"/>
      <c r="B414" s="35"/>
      <c r="C414" s="35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</row>
    <row r="415">
      <c r="A415" s="35"/>
      <c r="B415" s="35"/>
      <c r="C415" s="35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</row>
    <row r="416">
      <c r="A416" s="35"/>
      <c r="B416" s="35"/>
      <c r="C416" s="35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</row>
    <row r="417">
      <c r="A417" s="35"/>
      <c r="B417" s="35"/>
      <c r="C417" s="35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</row>
    <row r="418">
      <c r="A418" s="35"/>
      <c r="B418" s="35"/>
      <c r="C418" s="35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</row>
    <row r="419">
      <c r="A419" s="35"/>
      <c r="B419" s="35"/>
      <c r="C419" s="35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</row>
    <row r="420">
      <c r="A420" s="35"/>
      <c r="B420" s="35"/>
      <c r="C420" s="35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</row>
    <row r="421">
      <c r="A421" s="35"/>
      <c r="B421" s="35"/>
      <c r="C421" s="35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</row>
    <row r="422">
      <c r="A422" s="35"/>
      <c r="B422" s="35"/>
      <c r="C422" s="35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</row>
    <row r="423">
      <c r="A423" s="35"/>
      <c r="B423" s="35"/>
      <c r="C423" s="35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</row>
    <row r="424">
      <c r="A424" s="35"/>
      <c r="B424" s="35"/>
      <c r="C424" s="35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</row>
    <row r="425">
      <c r="A425" s="35"/>
      <c r="B425" s="35"/>
      <c r="C425" s="35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</row>
    <row r="426">
      <c r="A426" s="35"/>
      <c r="B426" s="35"/>
      <c r="C426" s="35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</row>
    <row r="427">
      <c r="A427" s="35"/>
      <c r="B427" s="35"/>
      <c r="C427" s="35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</row>
    <row r="428">
      <c r="A428" s="35"/>
      <c r="B428" s="35"/>
      <c r="C428" s="35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</row>
    <row r="429">
      <c r="A429" s="35"/>
      <c r="B429" s="35"/>
      <c r="C429" s="35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</row>
    <row r="430">
      <c r="A430" s="35"/>
      <c r="B430" s="35"/>
      <c r="C430" s="35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</row>
    <row r="431">
      <c r="A431" s="35"/>
      <c r="B431" s="35"/>
      <c r="C431" s="35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</row>
    <row r="432">
      <c r="A432" s="35"/>
      <c r="B432" s="35"/>
      <c r="C432" s="35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</row>
    <row r="433">
      <c r="A433" s="35"/>
      <c r="B433" s="35"/>
      <c r="C433" s="35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</row>
    <row r="434">
      <c r="A434" s="35"/>
      <c r="B434" s="35"/>
      <c r="C434" s="35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</row>
    <row r="435">
      <c r="A435" s="35"/>
      <c r="B435" s="35"/>
      <c r="C435" s="35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</row>
    <row r="436">
      <c r="A436" s="35"/>
      <c r="B436" s="35"/>
      <c r="C436" s="35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</row>
    <row r="437">
      <c r="A437" s="35"/>
      <c r="B437" s="35"/>
      <c r="C437" s="35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</row>
    <row r="438">
      <c r="A438" s="35"/>
      <c r="B438" s="35"/>
      <c r="C438" s="35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</row>
    <row r="439">
      <c r="A439" s="35"/>
      <c r="B439" s="35"/>
      <c r="C439" s="35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</row>
    <row r="440">
      <c r="A440" s="35"/>
      <c r="B440" s="35"/>
      <c r="C440" s="35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</row>
    <row r="441">
      <c r="A441" s="35"/>
      <c r="B441" s="35"/>
      <c r="C441" s="35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</row>
    <row r="442">
      <c r="A442" s="35"/>
      <c r="B442" s="35"/>
      <c r="C442" s="35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</row>
    <row r="443">
      <c r="A443" s="35"/>
      <c r="B443" s="35"/>
      <c r="C443" s="35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</row>
    <row r="444">
      <c r="A444" s="35"/>
      <c r="B444" s="35"/>
      <c r="C444" s="35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</row>
    <row r="445">
      <c r="A445" s="35"/>
      <c r="B445" s="35"/>
      <c r="C445" s="35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</row>
    <row r="446">
      <c r="A446" s="35"/>
      <c r="B446" s="35"/>
      <c r="C446" s="35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</row>
    <row r="447">
      <c r="A447" s="35"/>
      <c r="B447" s="35"/>
      <c r="C447" s="35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</row>
    <row r="448">
      <c r="A448" s="35"/>
      <c r="B448" s="35"/>
      <c r="C448" s="35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</row>
    <row r="449">
      <c r="A449" s="35"/>
      <c r="B449" s="35"/>
      <c r="C449" s="35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</row>
    <row r="450">
      <c r="A450" s="35"/>
      <c r="B450" s="35"/>
      <c r="C450" s="35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</row>
    <row r="451">
      <c r="A451" s="35"/>
      <c r="B451" s="35"/>
      <c r="C451" s="35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</row>
    <row r="452">
      <c r="A452" s="35"/>
      <c r="B452" s="35"/>
      <c r="C452" s="35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</row>
    <row r="453">
      <c r="A453" s="35"/>
      <c r="B453" s="35"/>
      <c r="C453" s="35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</row>
    <row r="454">
      <c r="A454" s="35"/>
      <c r="B454" s="35"/>
      <c r="C454" s="35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</row>
    <row r="455">
      <c r="A455" s="35"/>
      <c r="B455" s="35"/>
      <c r="C455" s="35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</row>
    <row r="456">
      <c r="A456" s="35"/>
      <c r="B456" s="35"/>
      <c r="C456" s="35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</row>
    <row r="457">
      <c r="A457" s="35"/>
      <c r="B457" s="35"/>
      <c r="C457" s="35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</row>
    <row r="458">
      <c r="A458" s="35"/>
      <c r="B458" s="35"/>
      <c r="C458" s="35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</row>
    <row r="459">
      <c r="A459" s="35"/>
      <c r="B459" s="35"/>
      <c r="C459" s="35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</row>
    <row r="460">
      <c r="A460" s="35"/>
      <c r="B460" s="35"/>
      <c r="C460" s="35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</row>
    <row r="461">
      <c r="A461" s="35"/>
      <c r="B461" s="35"/>
      <c r="C461" s="35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</row>
    <row r="462">
      <c r="A462" s="35"/>
      <c r="B462" s="35"/>
      <c r="C462" s="35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</row>
    <row r="463">
      <c r="A463" s="35"/>
      <c r="B463" s="35"/>
      <c r="C463" s="35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</row>
    <row r="464">
      <c r="A464" s="35"/>
      <c r="B464" s="35"/>
      <c r="C464" s="35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</row>
    <row r="465">
      <c r="A465" s="35"/>
      <c r="B465" s="35"/>
      <c r="C465" s="35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</row>
    <row r="466">
      <c r="A466" s="35"/>
      <c r="B466" s="35"/>
      <c r="C466" s="35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</row>
    <row r="467">
      <c r="A467" s="35"/>
      <c r="B467" s="35"/>
      <c r="C467" s="35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</row>
    <row r="468">
      <c r="A468" s="35"/>
      <c r="B468" s="35"/>
      <c r="C468" s="35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</row>
    <row r="469">
      <c r="A469" s="35"/>
      <c r="B469" s="35"/>
      <c r="C469" s="35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</row>
    <row r="470">
      <c r="A470" s="35"/>
      <c r="B470" s="35"/>
      <c r="C470" s="35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</row>
    <row r="471">
      <c r="A471" s="35"/>
      <c r="B471" s="35"/>
      <c r="C471" s="35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</row>
    <row r="472">
      <c r="A472" s="35"/>
      <c r="B472" s="35"/>
      <c r="C472" s="35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</row>
    <row r="473">
      <c r="A473" s="35"/>
      <c r="B473" s="35"/>
      <c r="C473" s="35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</row>
    <row r="474">
      <c r="A474" s="35"/>
      <c r="B474" s="35"/>
      <c r="C474" s="35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</row>
    <row r="475">
      <c r="A475" s="35"/>
      <c r="B475" s="35"/>
      <c r="C475" s="35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</row>
    <row r="476">
      <c r="A476" s="35"/>
      <c r="B476" s="35"/>
      <c r="C476" s="35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</row>
    <row r="477">
      <c r="A477" s="35"/>
      <c r="B477" s="35"/>
      <c r="C477" s="35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</row>
    <row r="478">
      <c r="A478" s="35"/>
      <c r="B478" s="35"/>
      <c r="C478" s="35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</row>
    <row r="479">
      <c r="A479" s="35"/>
      <c r="B479" s="35"/>
      <c r="C479" s="35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</row>
    <row r="480">
      <c r="A480" s="35"/>
      <c r="B480" s="35"/>
      <c r="C480" s="35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</row>
    <row r="481">
      <c r="A481" s="35"/>
      <c r="B481" s="35"/>
      <c r="C481" s="35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</row>
    <row r="482">
      <c r="A482" s="35"/>
      <c r="B482" s="35"/>
      <c r="C482" s="35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</row>
    <row r="483">
      <c r="A483" s="35"/>
      <c r="B483" s="35"/>
      <c r="C483" s="35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</row>
    <row r="484">
      <c r="A484" s="35"/>
      <c r="B484" s="35"/>
      <c r="C484" s="35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</row>
    <row r="485">
      <c r="A485" s="35"/>
      <c r="B485" s="35"/>
      <c r="C485" s="35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</row>
    <row r="486">
      <c r="A486" s="35"/>
      <c r="B486" s="35"/>
      <c r="C486" s="35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</row>
    <row r="487">
      <c r="A487" s="35"/>
      <c r="B487" s="35"/>
      <c r="C487" s="35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</row>
    <row r="488">
      <c r="A488" s="35"/>
      <c r="B488" s="35"/>
      <c r="C488" s="35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</row>
    <row r="489">
      <c r="A489" s="35"/>
      <c r="B489" s="35"/>
      <c r="C489" s="35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</row>
    <row r="490">
      <c r="A490" s="35"/>
      <c r="B490" s="35"/>
      <c r="C490" s="35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</row>
    <row r="491">
      <c r="A491" s="35"/>
      <c r="B491" s="35"/>
      <c r="C491" s="35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</row>
    <row r="492">
      <c r="A492" s="35"/>
      <c r="B492" s="35"/>
      <c r="C492" s="35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</row>
    <row r="493">
      <c r="A493" s="35"/>
      <c r="B493" s="35"/>
      <c r="C493" s="35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</row>
    <row r="494">
      <c r="A494" s="35"/>
      <c r="B494" s="35"/>
      <c r="C494" s="35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</row>
    <row r="495">
      <c r="A495" s="35"/>
      <c r="B495" s="35"/>
      <c r="C495" s="35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</row>
    <row r="496">
      <c r="A496" s="35"/>
      <c r="B496" s="35"/>
      <c r="C496" s="35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</row>
    <row r="497">
      <c r="A497" s="35"/>
      <c r="B497" s="35"/>
      <c r="C497" s="35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</row>
    <row r="498">
      <c r="A498" s="35"/>
      <c r="B498" s="35"/>
      <c r="C498" s="35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</row>
    <row r="499">
      <c r="A499" s="35"/>
      <c r="B499" s="35"/>
      <c r="C499" s="35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</row>
    <row r="500">
      <c r="A500" s="35"/>
      <c r="B500" s="35"/>
      <c r="C500" s="35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</row>
    <row r="501">
      <c r="A501" s="35"/>
      <c r="B501" s="35"/>
      <c r="C501" s="35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</row>
    <row r="502">
      <c r="A502" s="35"/>
      <c r="B502" s="35"/>
      <c r="C502" s="35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</row>
    <row r="503">
      <c r="A503" s="35"/>
      <c r="B503" s="35"/>
      <c r="C503" s="35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</row>
    <row r="504">
      <c r="A504" s="35"/>
      <c r="B504" s="35"/>
      <c r="C504" s="35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</row>
    <row r="505">
      <c r="A505" s="35"/>
      <c r="B505" s="35"/>
      <c r="C505" s="35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</row>
    <row r="506">
      <c r="A506" s="35"/>
      <c r="B506" s="35"/>
      <c r="C506" s="35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</row>
    <row r="507">
      <c r="A507" s="35"/>
      <c r="B507" s="35"/>
      <c r="C507" s="35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</row>
    <row r="508">
      <c r="A508" s="35"/>
      <c r="B508" s="35"/>
      <c r="C508" s="35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</row>
    <row r="509">
      <c r="A509" s="35"/>
      <c r="B509" s="35"/>
      <c r="C509" s="35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</row>
    <row r="510">
      <c r="A510" s="35"/>
      <c r="B510" s="35"/>
      <c r="C510" s="35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</row>
    <row r="511">
      <c r="A511" s="35"/>
      <c r="B511" s="35"/>
      <c r="C511" s="35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</row>
    <row r="512">
      <c r="A512" s="35"/>
      <c r="B512" s="35"/>
      <c r="C512" s="35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</row>
    <row r="513">
      <c r="A513" s="35"/>
      <c r="B513" s="35"/>
      <c r="C513" s="35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</row>
    <row r="514">
      <c r="A514" s="35"/>
      <c r="B514" s="35"/>
      <c r="C514" s="35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</row>
    <row r="515">
      <c r="A515" s="35"/>
      <c r="B515" s="35"/>
      <c r="C515" s="35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</row>
    <row r="516">
      <c r="A516" s="35"/>
      <c r="B516" s="35"/>
      <c r="C516" s="35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</row>
    <row r="517">
      <c r="A517" s="35"/>
      <c r="B517" s="35"/>
      <c r="C517" s="35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</row>
    <row r="518">
      <c r="A518" s="35"/>
      <c r="B518" s="35"/>
      <c r="C518" s="35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</row>
    <row r="519">
      <c r="A519" s="35"/>
      <c r="B519" s="35"/>
      <c r="C519" s="35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</row>
    <row r="520">
      <c r="A520" s="35"/>
      <c r="B520" s="35"/>
      <c r="C520" s="35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</row>
    <row r="521">
      <c r="A521" s="35"/>
      <c r="B521" s="35"/>
      <c r="C521" s="35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</row>
    <row r="522">
      <c r="A522" s="35"/>
      <c r="B522" s="35"/>
      <c r="C522" s="35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</row>
    <row r="523">
      <c r="A523" s="35"/>
      <c r="B523" s="35"/>
      <c r="C523" s="35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</row>
    <row r="524">
      <c r="A524" s="35"/>
      <c r="B524" s="35"/>
      <c r="C524" s="35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</row>
    <row r="525">
      <c r="A525" s="35"/>
      <c r="B525" s="35"/>
      <c r="C525" s="35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</row>
    <row r="526">
      <c r="A526" s="35"/>
      <c r="B526" s="35"/>
      <c r="C526" s="35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</row>
    <row r="527">
      <c r="A527" s="35"/>
      <c r="B527" s="35"/>
      <c r="C527" s="35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</row>
    <row r="528">
      <c r="A528" s="35"/>
      <c r="B528" s="35"/>
      <c r="C528" s="35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</row>
    <row r="529">
      <c r="A529" s="35"/>
      <c r="B529" s="35"/>
      <c r="C529" s="35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</row>
    <row r="530">
      <c r="A530" s="35"/>
      <c r="B530" s="35"/>
      <c r="C530" s="35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</row>
    <row r="531">
      <c r="A531" s="35"/>
      <c r="B531" s="35"/>
      <c r="C531" s="35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</row>
    <row r="532">
      <c r="A532" s="35"/>
      <c r="B532" s="35"/>
      <c r="C532" s="35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</row>
    <row r="533">
      <c r="A533" s="35"/>
      <c r="B533" s="35"/>
      <c r="C533" s="35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</row>
    <row r="534">
      <c r="A534" s="35"/>
      <c r="B534" s="35"/>
      <c r="C534" s="35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</row>
    <row r="535">
      <c r="A535" s="35"/>
      <c r="B535" s="35"/>
      <c r="C535" s="35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</row>
    <row r="536">
      <c r="A536" s="35"/>
      <c r="B536" s="35"/>
      <c r="C536" s="35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</row>
    <row r="537">
      <c r="A537" s="35"/>
      <c r="B537" s="35"/>
      <c r="C537" s="35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</row>
    <row r="538">
      <c r="A538" s="35"/>
      <c r="B538" s="35"/>
      <c r="C538" s="35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</row>
    <row r="539">
      <c r="A539" s="35"/>
      <c r="B539" s="35"/>
      <c r="C539" s="35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</row>
    <row r="540">
      <c r="A540" s="35"/>
      <c r="B540" s="35"/>
      <c r="C540" s="35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</row>
    <row r="541">
      <c r="A541" s="35"/>
      <c r="B541" s="35"/>
      <c r="C541" s="35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</row>
    <row r="542">
      <c r="A542" s="35"/>
      <c r="B542" s="35"/>
      <c r="C542" s="35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</row>
    <row r="543">
      <c r="A543" s="35"/>
      <c r="B543" s="35"/>
      <c r="C543" s="35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</row>
    <row r="544">
      <c r="A544" s="35"/>
      <c r="B544" s="35"/>
      <c r="C544" s="35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</row>
    <row r="545">
      <c r="A545" s="35"/>
      <c r="B545" s="35"/>
      <c r="C545" s="35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</row>
    <row r="546">
      <c r="A546" s="35"/>
      <c r="B546" s="35"/>
      <c r="C546" s="35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</row>
    <row r="547">
      <c r="A547" s="35"/>
      <c r="B547" s="35"/>
      <c r="C547" s="35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</row>
    <row r="548">
      <c r="A548" s="35"/>
      <c r="B548" s="35"/>
      <c r="C548" s="35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</row>
    <row r="549">
      <c r="A549" s="35"/>
      <c r="B549" s="35"/>
      <c r="C549" s="35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</row>
    <row r="550">
      <c r="A550" s="35"/>
      <c r="B550" s="35"/>
      <c r="C550" s="35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</row>
    <row r="551">
      <c r="A551" s="35"/>
      <c r="B551" s="35"/>
      <c r="C551" s="35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</row>
    <row r="552">
      <c r="A552" s="35"/>
      <c r="B552" s="35"/>
      <c r="C552" s="35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</row>
    <row r="553">
      <c r="A553" s="35"/>
      <c r="B553" s="35"/>
      <c r="C553" s="35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</row>
    <row r="554">
      <c r="A554" s="35"/>
      <c r="B554" s="35"/>
      <c r="C554" s="35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</row>
    <row r="555">
      <c r="A555" s="35"/>
      <c r="B555" s="35"/>
      <c r="C555" s="35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</row>
    <row r="556">
      <c r="A556" s="35"/>
      <c r="B556" s="35"/>
      <c r="C556" s="35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</row>
    <row r="557">
      <c r="A557" s="35"/>
      <c r="B557" s="35"/>
      <c r="C557" s="35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</row>
    <row r="558">
      <c r="A558" s="35"/>
      <c r="B558" s="35"/>
      <c r="C558" s="35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</row>
    <row r="559">
      <c r="A559" s="35"/>
      <c r="B559" s="35"/>
      <c r="C559" s="35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</row>
    <row r="560">
      <c r="A560" s="35"/>
      <c r="B560" s="35"/>
      <c r="C560" s="35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</row>
    <row r="561">
      <c r="A561" s="35"/>
      <c r="B561" s="35"/>
      <c r="C561" s="35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</row>
    <row r="562">
      <c r="A562" s="35"/>
      <c r="B562" s="35"/>
      <c r="C562" s="35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</row>
    <row r="563">
      <c r="A563" s="35"/>
      <c r="B563" s="35"/>
      <c r="C563" s="35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</row>
    <row r="564">
      <c r="A564" s="35"/>
      <c r="B564" s="35"/>
      <c r="C564" s="35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</row>
    <row r="565">
      <c r="A565" s="35"/>
      <c r="B565" s="35"/>
      <c r="C565" s="35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</row>
    <row r="566">
      <c r="A566" s="35"/>
      <c r="B566" s="35"/>
      <c r="C566" s="35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</row>
    <row r="567">
      <c r="A567" s="35"/>
      <c r="B567" s="35"/>
      <c r="C567" s="35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</row>
    <row r="568">
      <c r="A568" s="35"/>
      <c r="B568" s="35"/>
      <c r="C568" s="35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</row>
    <row r="569">
      <c r="A569" s="35"/>
      <c r="B569" s="35"/>
      <c r="C569" s="35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</row>
    <row r="570">
      <c r="A570" s="35"/>
      <c r="B570" s="35"/>
      <c r="C570" s="35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</row>
    <row r="571">
      <c r="A571" s="35"/>
      <c r="B571" s="35"/>
      <c r="C571" s="35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</row>
    <row r="572">
      <c r="A572" s="35"/>
      <c r="B572" s="35"/>
      <c r="C572" s="35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</row>
    <row r="573">
      <c r="A573" s="35"/>
      <c r="B573" s="35"/>
      <c r="C573" s="35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</row>
    <row r="574">
      <c r="A574" s="35"/>
      <c r="B574" s="35"/>
      <c r="C574" s="35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</row>
    <row r="575">
      <c r="A575" s="35"/>
      <c r="B575" s="35"/>
      <c r="C575" s="35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</row>
    <row r="576">
      <c r="A576" s="35"/>
      <c r="B576" s="35"/>
      <c r="C576" s="35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</row>
    <row r="577">
      <c r="A577" s="35"/>
      <c r="B577" s="35"/>
      <c r="C577" s="35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</row>
    <row r="578">
      <c r="A578" s="35"/>
      <c r="B578" s="35"/>
      <c r="C578" s="35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</row>
    <row r="579">
      <c r="A579" s="35"/>
      <c r="B579" s="35"/>
      <c r="C579" s="35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</row>
    <row r="580">
      <c r="A580" s="35"/>
      <c r="B580" s="35"/>
      <c r="C580" s="35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</row>
    <row r="581">
      <c r="A581" s="35"/>
      <c r="B581" s="35"/>
      <c r="C581" s="35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</row>
    <row r="582">
      <c r="A582" s="35"/>
      <c r="B582" s="35"/>
      <c r="C582" s="35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</row>
    <row r="583">
      <c r="A583" s="35"/>
      <c r="B583" s="35"/>
      <c r="C583" s="35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</row>
    <row r="584">
      <c r="A584" s="35"/>
      <c r="B584" s="35"/>
      <c r="C584" s="35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</row>
    <row r="585">
      <c r="A585" s="35"/>
      <c r="B585" s="35"/>
      <c r="C585" s="35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</row>
    <row r="586">
      <c r="A586" s="35"/>
      <c r="B586" s="35"/>
      <c r="C586" s="35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</row>
    <row r="587">
      <c r="A587" s="35"/>
      <c r="B587" s="35"/>
      <c r="C587" s="35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</row>
    <row r="588">
      <c r="A588" s="35"/>
      <c r="B588" s="35"/>
      <c r="C588" s="35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</row>
    <row r="589">
      <c r="A589" s="35"/>
      <c r="B589" s="35"/>
      <c r="C589" s="35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</row>
    <row r="590">
      <c r="A590" s="35"/>
      <c r="B590" s="35"/>
      <c r="C590" s="35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</row>
    <row r="591">
      <c r="A591" s="35"/>
      <c r="B591" s="35"/>
      <c r="C591" s="35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</row>
    <row r="592">
      <c r="A592" s="35"/>
      <c r="B592" s="35"/>
      <c r="C592" s="35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</row>
    <row r="593">
      <c r="A593" s="35"/>
      <c r="B593" s="35"/>
      <c r="C593" s="35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</row>
    <row r="594">
      <c r="A594" s="35"/>
      <c r="B594" s="35"/>
      <c r="C594" s="35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</row>
    <row r="595">
      <c r="A595" s="35"/>
      <c r="B595" s="35"/>
      <c r="C595" s="35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</row>
    <row r="596">
      <c r="A596" s="35"/>
      <c r="B596" s="35"/>
      <c r="C596" s="35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</row>
    <row r="597">
      <c r="A597" s="35"/>
      <c r="B597" s="35"/>
      <c r="C597" s="35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</row>
    <row r="598">
      <c r="A598" s="35"/>
      <c r="B598" s="35"/>
      <c r="C598" s="35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</row>
    <row r="599">
      <c r="A599" s="35"/>
      <c r="B599" s="35"/>
      <c r="C599" s="35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</row>
    <row r="600">
      <c r="A600" s="35"/>
      <c r="B600" s="35"/>
      <c r="C600" s="35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</row>
    <row r="601">
      <c r="A601" s="35"/>
      <c r="B601" s="35"/>
      <c r="C601" s="35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</row>
    <row r="602">
      <c r="A602" s="35"/>
      <c r="B602" s="35"/>
      <c r="C602" s="35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</row>
    <row r="603">
      <c r="A603" s="35"/>
      <c r="B603" s="35"/>
      <c r="C603" s="35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</row>
    <row r="604">
      <c r="A604" s="35"/>
      <c r="B604" s="35"/>
      <c r="C604" s="35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</row>
    <row r="605">
      <c r="A605" s="35"/>
      <c r="B605" s="35"/>
      <c r="C605" s="35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</row>
    <row r="606">
      <c r="A606" s="35"/>
      <c r="B606" s="35"/>
      <c r="C606" s="35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</row>
    <row r="607">
      <c r="A607" s="35"/>
      <c r="B607" s="35"/>
      <c r="C607" s="35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</row>
    <row r="608">
      <c r="A608" s="35"/>
      <c r="B608" s="35"/>
      <c r="C608" s="35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</row>
    <row r="609">
      <c r="A609" s="35"/>
      <c r="B609" s="35"/>
      <c r="C609" s="35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</row>
    <row r="610">
      <c r="A610" s="35"/>
      <c r="B610" s="35"/>
      <c r="C610" s="35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</row>
    <row r="611">
      <c r="A611" s="35"/>
      <c r="B611" s="35"/>
      <c r="C611" s="35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</row>
    <row r="612">
      <c r="A612" s="35"/>
      <c r="B612" s="35"/>
      <c r="C612" s="35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</row>
    <row r="613">
      <c r="A613" s="35"/>
      <c r="B613" s="35"/>
      <c r="C613" s="35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</row>
    <row r="614">
      <c r="A614" s="35"/>
      <c r="B614" s="35"/>
      <c r="C614" s="35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</row>
    <row r="615">
      <c r="A615" s="35"/>
      <c r="B615" s="35"/>
      <c r="C615" s="35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</row>
    <row r="616">
      <c r="A616" s="35"/>
      <c r="B616" s="35"/>
      <c r="C616" s="35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</row>
    <row r="617">
      <c r="A617" s="35"/>
      <c r="B617" s="35"/>
      <c r="C617" s="35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</row>
    <row r="618">
      <c r="A618" s="35"/>
      <c r="B618" s="35"/>
      <c r="C618" s="35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</row>
    <row r="619">
      <c r="A619" s="35"/>
      <c r="B619" s="35"/>
      <c r="C619" s="35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</row>
    <row r="620">
      <c r="A620" s="35"/>
      <c r="B620" s="35"/>
      <c r="C620" s="35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</row>
    <row r="621">
      <c r="A621" s="35"/>
      <c r="B621" s="35"/>
      <c r="C621" s="35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</row>
    <row r="622">
      <c r="A622" s="35"/>
      <c r="B622" s="35"/>
      <c r="C622" s="35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</row>
    <row r="623">
      <c r="A623" s="35"/>
      <c r="B623" s="35"/>
      <c r="C623" s="35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</row>
    <row r="624">
      <c r="A624" s="35"/>
      <c r="B624" s="35"/>
      <c r="C624" s="35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</row>
    <row r="625">
      <c r="A625" s="35"/>
      <c r="B625" s="35"/>
      <c r="C625" s="35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</row>
    <row r="626">
      <c r="A626" s="35"/>
      <c r="B626" s="35"/>
      <c r="C626" s="35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</row>
    <row r="627">
      <c r="A627" s="35"/>
      <c r="B627" s="35"/>
      <c r="C627" s="35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</row>
    <row r="628">
      <c r="A628" s="35"/>
      <c r="B628" s="35"/>
      <c r="C628" s="35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</row>
    <row r="629">
      <c r="A629" s="35"/>
      <c r="B629" s="35"/>
      <c r="C629" s="35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</row>
    <row r="630">
      <c r="A630" s="35"/>
      <c r="B630" s="35"/>
      <c r="C630" s="35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</row>
    <row r="631">
      <c r="A631" s="35"/>
      <c r="B631" s="35"/>
      <c r="C631" s="35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</row>
    <row r="632">
      <c r="A632" s="35"/>
      <c r="B632" s="35"/>
      <c r="C632" s="35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</row>
    <row r="633">
      <c r="A633" s="35"/>
      <c r="B633" s="35"/>
      <c r="C633" s="35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</row>
    <row r="634">
      <c r="A634" s="35"/>
      <c r="B634" s="35"/>
      <c r="C634" s="35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</row>
    <row r="635">
      <c r="A635" s="35"/>
      <c r="B635" s="35"/>
      <c r="C635" s="35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</row>
    <row r="636">
      <c r="A636" s="35"/>
      <c r="B636" s="35"/>
      <c r="C636" s="35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</row>
    <row r="637">
      <c r="A637" s="35"/>
      <c r="B637" s="35"/>
      <c r="C637" s="35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</row>
    <row r="638">
      <c r="A638" s="35"/>
      <c r="B638" s="35"/>
      <c r="C638" s="35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</row>
    <row r="639">
      <c r="A639" s="35"/>
      <c r="B639" s="35"/>
      <c r="C639" s="35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</row>
    <row r="640">
      <c r="A640" s="35"/>
      <c r="B640" s="35"/>
      <c r="C640" s="35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</row>
    <row r="641">
      <c r="A641" s="35"/>
      <c r="B641" s="35"/>
      <c r="C641" s="35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</row>
    <row r="642">
      <c r="A642" s="35"/>
      <c r="B642" s="35"/>
      <c r="C642" s="35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</row>
    <row r="643">
      <c r="A643" s="35"/>
      <c r="B643" s="35"/>
      <c r="C643" s="35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</row>
    <row r="644">
      <c r="A644" s="35"/>
      <c r="B644" s="35"/>
      <c r="C644" s="35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</row>
    <row r="645">
      <c r="A645" s="35"/>
      <c r="B645" s="35"/>
      <c r="C645" s="35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</row>
    <row r="646">
      <c r="A646" s="35"/>
      <c r="B646" s="35"/>
      <c r="C646" s="35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</row>
    <row r="647">
      <c r="A647" s="35"/>
      <c r="B647" s="35"/>
      <c r="C647" s="35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</row>
    <row r="648">
      <c r="A648" s="35"/>
      <c r="B648" s="35"/>
      <c r="C648" s="35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</row>
    <row r="649">
      <c r="A649" s="35"/>
      <c r="B649" s="35"/>
      <c r="C649" s="35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</row>
    <row r="650">
      <c r="A650" s="35"/>
      <c r="B650" s="35"/>
      <c r="C650" s="35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</row>
    <row r="651">
      <c r="A651" s="35"/>
      <c r="B651" s="35"/>
      <c r="C651" s="35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</row>
    <row r="652">
      <c r="A652" s="35"/>
      <c r="B652" s="35"/>
      <c r="C652" s="35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</row>
    <row r="653">
      <c r="A653" s="35"/>
      <c r="B653" s="35"/>
      <c r="C653" s="35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</row>
    <row r="654">
      <c r="A654" s="35"/>
      <c r="B654" s="35"/>
      <c r="C654" s="35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</row>
    <row r="655">
      <c r="A655" s="35"/>
      <c r="B655" s="35"/>
      <c r="C655" s="35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</row>
    <row r="656">
      <c r="A656" s="35"/>
      <c r="B656" s="35"/>
      <c r="C656" s="35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</row>
    <row r="657">
      <c r="A657" s="35"/>
      <c r="B657" s="35"/>
      <c r="C657" s="35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</row>
    <row r="658">
      <c r="A658" s="35"/>
      <c r="B658" s="35"/>
      <c r="C658" s="35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</row>
    <row r="659">
      <c r="A659" s="35"/>
      <c r="B659" s="35"/>
      <c r="C659" s="35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</row>
    <row r="660">
      <c r="A660" s="35"/>
      <c r="B660" s="35"/>
      <c r="C660" s="35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</row>
    <row r="661">
      <c r="A661" s="35"/>
      <c r="B661" s="35"/>
      <c r="C661" s="35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</row>
    <row r="662">
      <c r="A662" s="35"/>
      <c r="B662" s="35"/>
      <c r="C662" s="35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</row>
    <row r="663">
      <c r="A663" s="35"/>
      <c r="B663" s="35"/>
      <c r="C663" s="35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</row>
    <row r="664">
      <c r="A664" s="35"/>
      <c r="B664" s="35"/>
      <c r="C664" s="35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</row>
    <row r="665">
      <c r="A665" s="35"/>
      <c r="B665" s="35"/>
      <c r="C665" s="35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</row>
    <row r="666">
      <c r="A666" s="35"/>
      <c r="B666" s="35"/>
      <c r="C666" s="35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</row>
    <row r="667">
      <c r="A667" s="35"/>
      <c r="B667" s="35"/>
      <c r="C667" s="35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</row>
    <row r="668">
      <c r="A668" s="35"/>
      <c r="B668" s="35"/>
      <c r="C668" s="35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</row>
    <row r="669">
      <c r="A669" s="35"/>
      <c r="B669" s="35"/>
      <c r="C669" s="35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</row>
    <row r="670">
      <c r="A670" s="35"/>
      <c r="B670" s="35"/>
      <c r="C670" s="35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</row>
    <row r="671">
      <c r="A671" s="35"/>
      <c r="B671" s="35"/>
      <c r="C671" s="35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</row>
    <row r="672">
      <c r="A672" s="35"/>
      <c r="B672" s="35"/>
      <c r="C672" s="35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</row>
    <row r="673">
      <c r="A673" s="35"/>
      <c r="B673" s="35"/>
      <c r="C673" s="35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</row>
    <row r="674">
      <c r="A674" s="35"/>
      <c r="B674" s="35"/>
      <c r="C674" s="35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</row>
    <row r="675">
      <c r="A675" s="35"/>
      <c r="B675" s="35"/>
      <c r="C675" s="35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</row>
    <row r="676">
      <c r="A676" s="35"/>
      <c r="B676" s="35"/>
      <c r="C676" s="35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</row>
    <row r="677">
      <c r="A677" s="35"/>
      <c r="B677" s="35"/>
      <c r="C677" s="35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</row>
    <row r="678">
      <c r="A678" s="35"/>
      <c r="B678" s="35"/>
      <c r="C678" s="35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</row>
    <row r="679">
      <c r="A679" s="35"/>
      <c r="B679" s="35"/>
      <c r="C679" s="35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</row>
    <row r="680">
      <c r="A680" s="35"/>
      <c r="B680" s="35"/>
      <c r="C680" s="35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</row>
    <row r="681">
      <c r="A681" s="35"/>
      <c r="B681" s="35"/>
      <c r="C681" s="35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</row>
    <row r="682">
      <c r="A682" s="35"/>
      <c r="B682" s="35"/>
      <c r="C682" s="35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</row>
    <row r="683">
      <c r="A683" s="35"/>
      <c r="B683" s="35"/>
      <c r="C683" s="35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</row>
    <row r="684">
      <c r="A684" s="35"/>
      <c r="B684" s="35"/>
      <c r="C684" s="35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</row>
    <row r="685">
      <c r="A685" s="35"/>
      <c r="B685" s="35"/>
      <c r="C685" s="35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</row>
    <row r="686">
      <c r="A686" s="35"/>
      <c r="B686" s="35"/>
      <c r="C686" s="35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</row>
    <row r="687">
      <c r="A687" s="35"/>
      <c r="B687" s="35"/>
      <c r="C687" s="35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</row>
    <row r="688">
      <c r="A688" s="35"/>
      <c r="B688" s="35"/>
      <c r="C688" s="35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</row>
    <row r="689">
      <c r="A689" s="35"/>
      <c r="B689" s="35"/>
      <c r="C689" s="35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</row>
    <row r="690">
      <c r="A690" s="35"/>
      <c r="B690" s="35"/>
      <c r="C690" s="35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</row>
    <row r="691">
      <c r="A691" s="35"/>
      <c r="B691" s="35"/>
      <c r="C691" s="35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</row>
    <row r="692">
      <c r="A692" s="35"/>
      <c r="B692" s="35"/>
      <c r="C692" s="35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</row>
    <row r="693">
      <c r="A693" s="35"/>
      <c r="B693" s="35"/>
      <c r="C693" s="35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</row>
    <row r="694">
      <c r="A694" s="35"/>
      <c r="B694" s="35"/>
      <c r="C694" s="35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</row>
    <row r="695">
      <c r="A695" s="35"/>
      <c r="B695" s="35"/>
      <c r="C695" s="35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</row>
    <row r="696">
      <c r="A696" s="35"/>
      <c r="B696" s="35"/>
      <c r="C696" s="35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</row>
    <row r="697">
      <c r="A697" s="35"/>
      <c r="B697" s="35"/>
      <c r="C697" s="35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</row>
    <row r="698">
      <c r="A698" s="35"/>
      <c r="B698" s="35"/>
      <c r="C698" s="35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</row>
    <row r="699">
      <c r="A699" s="35"/>
      <c r="B699" s="35"/>
      <c r="C699" s="35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</row>
    <row r="700">
      <c r="A700" s="35"/>
      <c r="B700" s="35"/>
      <c r="C700" s="35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</row>
    <row r="701">
      <c r="A701" s="35"/>
      <c r="B701" s="35"/>
      <c r="C701" s="35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</row>
    <row r="702">
      <c r="A702" s="35"/>
      <c r="B702" s="35"/>
      <c r="C702" s="35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</row>
    <row r="703">
      <c r="A703" s="35"/>
      <c r="B703" s="35"/>
      <c r="C703" s="35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</row>
    <row r="704">
      <c r="A704" s="35"/>
      <c r="B704" s="35"/>
      <c r="C704" s="35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</row>
    <row r="705">
      <c r="A705" s="35"/>
      <c r="B705" s="35"/>
      <c r="C705" s="35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</row>
    <row r="706">
      <c r="A706" s="35"/>
      <c r="B706" s="35"/>
      <c r="C706" s="35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</row>
    <row r="707">
      <c r="A707" s="35"/>
      <c r="B707" s="35"/>
      <c r="C707" s="35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</row>
    <row r="708">
      <c r="A708" s="35"/>
      <c r="B708" s="35"/>
      <c r="C708" s="35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</row>
    <row r="709">
      <c r="A709" s="35"/>
      <c r="B709" s="35"/>
      <c r="C709" s="35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</row>
    <row r="710">
      <c r="A710" s="35"/>
      <c r="B710" s="35"/>
      <c r="C710" s="35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</row>
    <row r="711">
      <c r="A711" s="35"/>
      <c r="B711" s="35"/>
      <c r="C711" s="35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</row>
    <row r="712">
      <c r="A712" s="35"/>
      <c r="B712" s="35"/>
      <c r="C712" s="35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</row>
    <row r="713">
      <c r="A713" s="35"/>
      <c r="B713" s="35"/>
      <c r="C713" s="35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</row>
    <row r="714">
      <c r="A714" s="35"/>
      <c r="B714" s="35"/>
      <c r="C714" s="35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</row>
    <row r="715">
      <c r="A715" s="35"/>
      <c r="B715" s="35"/>
      <c r="C715" s="35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</row>
    <row r="716">
      <c r="A716" s="35"/>
      <c r="B716" s="35"/>
      <c r="C716" s="35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</row>
    <row r="717">
      <c r="A717" s="35"/>
      <c r="B717" s="35"/>
      <c r="C717" s="35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</row>
    <row r="718">
      <c r="A718" s="35"/>
      <c r="B718" s="35"/>
      <c r="C718" s="35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</row>
    <row r="719">
      <c r="A719" s="35"/>
      <c r="B719" s="35"/>
      <c r="C719" s="35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</row>
    <row r="720">
      <c r="A720" s="35"/>
      <c r="B720" s="35"/>
      <c r="C720" s="35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</row>
    <row r="721">
      <c r="A721" s="35"/>
      <c r="B721" s="35"/>
      <c r="C721" s="35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</row>
    <row r="722">
      <c r="A722" s="35"/>
      <c r="B722" s="35"/>
      <c r="C722" s="35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</row>
    <row r="723">
      <c r="A723" s="35"/>
      <c r="B723" s="35"/>
      <c r="C723" s="35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</row>
    <row r="724">
      <c r="A724" s="35"/>
      <c r="B724" s="35"/>
      <c r="C724" s="35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</row>
    <row r="725">
      <c r="A725" s="35"/>
      <c r="B725" s="35"/>
      <c r="C725" s="35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</row>
    <row r="726">
      <c r="A726" s="35"/>
      <c r="B726" s="35"/>
      <c r="C726" s="35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</row>
    <row r="727">
      <c r="A727" s="35"/>
      <c r="B727" s="35"/>
      <c r="C727" s="35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</row>
    <row r="728">
      <c r="A728" s="35"/>
      <c r="B728" s="35"/>
      <c r="C728" s="35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</row>
    <row r="729">
      <c r="A729" s="35"/>
      <c r="B729" s="35"/>
      <c r="C729" s="35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</row>
    <row r="730">
      <c r="A730" s="35"/>
      <c r="B730" s="35"/>
      <c r="C730" s="35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</row>
    <row r="731">
      <c r="A731" s="35"/>
      <c r="B731" s="35"/>
      <c r="C731" s="35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</row>
    <row r="732">
      <c r="A732" s="35"/>
      <c r="B732" s="35"/>
      <c r="C732" s="35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</row>
    <row r="733">
      <c r="A733" s="35"/>
      <c r="B733" s="35"/>
      <c r="C733" s="35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</row>
    <row r="734">
      <c r="A734" s="35"/>
      <c r="B734" s="35"/>
      <c r="C734" s="35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</row>
    <row r="735">
      <c r="A735" s="35"/>
      <c r="B735" s="35"/>
      <c r="C735" s="35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</row>
    <row r="736">
      <c r="A736" s="35"/>
      <c r="B736" s="35"/>
      <c r="C736" s="35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</row>
    <row r="737">
      <c r="A737" s="35"/>
      <c r="B737" s="35"/>
      <c r="C737" s="35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</row>
    <row r="738">
      <c r="A738" s="35"/>
      <c r="B738" s="35"/>
      <c r="C738" s="35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</row>
    <row r="739">
      <c r="A739" s="35"/>
      <c r="B739" s="35"/>
      <c r="C739" s="35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</row>
    <row r="740">
      <c r="A740" s="35"/>
      <c r="B740" s="35"/>
      <c r="C740" s="35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</row>
    <row r="741">
      <c r="A741" s="35"/>
      <c r="B741" s="35"/>
      <c r="C741" s="35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</row>
    <row r="742">
      <c r="A742" s="35"/>
      <c r="B742" s="35"/>
      <c r="C742" s="35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</row>
    <row r="743">
      <c r="A743" s="35"/>
      <c r="B743" s="35"/>
      <c r="C743" s="35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</row>
    <row r="744">
      <c r="A744" s="35"/>
      <c r="B744" s="35"/>
      <c r="C744" s="35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</row>
    <row r="745">
      <c r="A745" s="35"/>
      <c r="B745" s="35"/>
      <c r="C745" s="35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</row>
    <row r="746">
      <c r="A746" s="35"/>
      <c r="B746" s="35"/>
      <c r="C746" s="35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</row>
    <row r="747">
      <c r="A747" s="35"/>
      <c r="B747" s="35"/>
      <c r="C747" s="35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</row>
    <row r="748">
      <c r="A748" s="35"/>
      <c r="B748" s="35"/>
      <c r="C748" s="35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</row>
    <row r="749">
      <c r="A749" s="35"/>
      <c r="B749" s="35"/>
      <c r="C749" s="35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</row>
    <row r="750">
      <c r="A750" s="35"/>
      <c r="B750" s="35"/>
      <c r="C750" s="35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</row>
    <row r="751">
      <c r="A751" s="35"/>
      <c r="B751" s="35"/>
      <c r="C751" s="35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</row>
    <row r="752">
      <c r="A752" s="35"/>
      <c r="B752" s="35"/>
      <c r="C752" s="35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</row>
    <row r="753">
      <c r="A753" s="35"/>
      <c r="B753" s="35"/>
      <c r="C753" s="35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</row>
    <row r="754">
      <c r="A754" s="35"/>
      <c r="B754" s="35"/>
      <c r="C754" s="35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</row>
    <row r="755">
      <c r="A755" s="35"/>
      <c r="B755" s="35"/>
      <c r="C755" s="35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</row>
    <row r="756">
      <c r="A756" s="35"/>
      <c r="B756" s="35"/>
      <c r="C756" s="35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</row>
    <row r="757">
      <c r="A757" s="35"/>
      <c r="B757" s="35"/>
      <c r="C757" s="35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</row>
    <row r="758">
      <c r="A758" s="35"/>
      <c r="B758" s="35"/>
      <c r="C758" s="35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</row>
    <row r="759">
      <c r="A759" s="35"/>
      <c r="B759" s="35"/>
      <c r="C759" s="35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</row>
    <row r="760">
      <c r="A760" s="35"/>
      <c r="B760" s="35"/>
      <c r="C760" s="35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</row>
    <row r="761">
      <c r="A761" s="35"/>
      <c r="B761" s="35"/>
      <c r="C761" s="35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</row>
    <row r="762">
      <c r="A762" s="35"/>
      <c r="B762" s="35"/>
      <c r="C762" s="35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</row>
    <row r="763">
      <c r="A763" s="35"/>
      <c r="B763" s="35"/>
      <c r="C763" s="35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</row>
    <row r="764">
      <c r="A764" s="35"/>
      <c r="B764" s="35"/>
      <c r="C764" s="35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</row>
    <row r="765">
      <c r="A765" s="35"/>
      <c r="B765" s="35"/>
      <c r="C765" s="35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</row>
    <row r="766">
      <c r="A766" s="35"/>
      <c r="B766" s="35"/>
      <c r="C766" s="35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</row>
    <row r="767">
      <c r="A767" s="35"/>
      <c r="B767" s="35"/>
      <c r="C767" s="35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</row>
    <row r="768">
      <c r="A768" s="35"/>
      <c r="B768" s="35"/>
      <c r="C768" s="35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</row>
    <row r="769">
      <c r="A769" s="35"/>
      <c r="B769" s="35"/>
      <c r="C769" s="35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</row>
    <row r="770">
      <c r="A770" s="35"/>
      <c r="B770" s="35"/>
      <c r="C770" s="35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</row>
    <row r="771">
      <c r="A771" s="35"/>
      <c r="B771" s="35"/>
      <c r="C771" s="35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</row>
    <row r="772">
      <c r="A772" s="35"/>
      <c r="B772" s="35"/>
      <c r="C772" s="35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</row>
    <row r="773">
      <c r="A773" s="35"/>
      <c r="B773" s="35"/>
      <c r="C773" s="35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</row>
    <row r="774">
      <c r="A774" s="35"/>
      <c r="B774" s="35"/>
      <c r="C774" s="35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</row>
    <row r="775">
      <c r="A775" s="35"/>
      <c r="B775" s="35"/>
      <c r="C775" s="35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</row>
    <row r="776">
      <c r="A776" s="35"/>
      <c r="B776" s="35"/>
      <c r="C776" s="35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</row>
    <row r="777">
      <c r="A777" s="35"/>
      <c r="B777" s="35"/>
      <c r="C777" s="35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</row>
    <row r="778">
      <c r="A778" s="35"/>
      <c r="B778" s="35"/>
      <c r="C778" s="35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</row>
    <row r="779">
      <c r="A779" s="35"/>
      <c r="B779" s="35"/>
      <c r="C779" s="35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</row>
    <row r="780">
      <c r="A780" s="35"/>
      <c r="B780" s="35"/>
      <c r="C780" s="35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</row>
    <row r="781">
      <c r="A781" s="35"/>
      <c r="B781" s="35"/>
      <c r="C781" s="35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</row>
    <row r="782">
      <c r="A782" s="35"/>
      <c r="B782" s="35"/>
      <c r="C782" s="35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</row>
    <row r="783">
      <c r="A783" s="35"/>
      <c r="B783" s="35"/>
      <c r="C783" s="35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</row>
    <row r="784">
      <c r="A784" s="35"/>
      <c r="B784" s="35"/>
      <c r="C784" s="35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</row>
    <row r="785">
      <c r="A785" s="35"/>
      <c r="B785" s="35"/>
      <c r="C785" s="35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</row>
    <row r="786">
      <c r="A786" s="35"/>
      <c r="B786" s="35"/>
      <c r="C786" s="35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</row>
    <row r="787">
      <c r="A787" s="35"/>
      <c r="B787" s="35"/>
      <c r="C787" s="35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</row>
    <row r="788">
      <c r="A788" s="35"/>
      <c r="B788" s="35"/>
      <c r="C788" s="35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</row>
    <row r="789">
      <c r="A789" s="35"/>
      <c r="B789" s="35"/>
      <c r="C789" s="35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</row>
    <row r="790">
      <c r="A790" s="35"/>
      <c r="B790" s="35"/>
      <c r="C790" s="35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</row>
    <row r="791">
      <c r="A791" s="35"/>
      <c r="B791" s="35"/>
      <c r="C791" s="35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</row>
    <row r="792">
      <c r="A792" s="35"/>
      <c r="B792" s="35"/>
      <c r="C792" s="35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</row>
    <row r="793">
      <c r="A793" s="35"/>
      <c r="B793" s="35"/>
      <c r="C793" s="35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</row>
    <row r="794">
      <c r="A794" s="35"/>
      <c r="B794" s="35"/>
      <c r="C794" s="35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</row>
    <row r="795">
      <c r="A795" s="35"/>
      <c r="B795" s="35"/>
      <c r="C795" s="35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</row>
    <row r="796">
      <c r="A796" s="35"/>
      <c r="B796" s="35"/>
      <c r="C796" s="35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</row>
    <row r="797">
      <c r="A797" s="35"/>
      <c r="B797" s="35"/>
      <c r="C797" s="35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</row>
    <row r="798">
      <c r="A798" s="35"/>
      <c r="B798" s="35"/>
      <c r="C798" s="35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</row>
    <row r="799">
      <c r="A799" s="35"/>
      <c r="B799" s="35"/>
      <c r="C799" s="35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</row>
    <row r="800">
      <c r="A800" s="35"/>
      <c r="B800" s="35"/>
      <c r="C800" s="35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</row>
    <row r="801">
      <c r="A801" s="35"/>
      <c r="B801" s="35"/>
      <c r="C801" s="35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</row>
    <row r="802">
      <c r="A802" s="35"/>
      <c r="B802" s="35"/>
      <c r="C802" s="35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</row>
    <row r="803">
      <c r="A803" s="35"/>
      <c r="B803" s="35"/>
      <c r="C803" s="35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</row>
    <row r="804">
      <c r="A804" s="35"/>
      <c r="B804" s="35"/>
      <c r="C804" s="35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</row>
    <row r="805">
      <c r="A805" s="35"/>
      <c r="B805" s="35"/>
      <c r="C805" s="35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</row>
    <row r="806">
      <c r="A806" s="35"/>
      <c r="B806" s="35"/>
      <c r="C806" s="35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</row>
    <row r="807">
      <c r="A807" s="35"/>
      <c r="B807" s="35"/>
      <c r="C807" s="35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</row>
    <row r="808">
      <c r="A808" s="35"/>
      <c r="B808" s="35"/>
      <c r="C808" s="35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</row>
    <row r="809">
      <c r="A809" s="35"/>
      <c r="B809" s="35"/>
      <c r="C809" s="35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</row>
    <row r="810">
      <c r="A810" s="35"/>
      <c r="B810" s="35"/>
      <c r="C810" s="35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</row>
    <row r="811">
      <c r="A811" s="35"/>
      <c r="B811" s="35"/>
      <c r="C811" s="35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</row>
    <row r="812">
      <c r="A812" s="35"/>
      <c r="B812" s="35"/>
      <c r="C812" s="35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</row>
    <row r="813">
      <c r="A813" s="35"/>
      <c r="B813" s="35"/>
      <c r="C813" s="35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</row>
    <row r="814">
      <c r="A814" s="35"/>
      <c r="B814" s="35"/>
      <c r="C814" s="35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</row>
    <row r="815">
      <c r="A815" s="35"/>
      <c r="B815" s="35"/>
      <c r="C815" s="35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</row>
    <row r="816">
      <c r="A816" s="35"/>
      <c r="B816" s="35"/>
      <c r="C816" s="35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</row>
    <row r="817">
      <c r="A817" s="35"/>
      <c r="B817" s="35"/>
      <c r="C817" s="35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</row>
    <row r="818">
      <c r="A818" s="35"/>
      <c r="B818" s="35"/>
      <c r="C818" s="35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</row>
    <row r="819">
      <c r="A819" s="35"/>
      <c r="B819" s="35"/>
      <c r="C819" s="35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</row>
    <row r="820">
      <c r="A820" s="35"/>
      <c r="B820" s="35"/>
      <c r="C820" s="35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</row>
    <row r="821">
      <c r="A821" s="35"/>
      <c r="B821" s="35"/>
      <c r="C821" s="35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</row>
    <row r="822">
      <c r="A822" s="35"/>
      <c r="B822" s="35"/>
      <c r="C822" s="35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</row>
    <row r="823">
      <c r="A823" s="35"/>
      <c r="B823" s="35"/>
      <c r="C823" s="35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</row>
    <row r="824">
      <c r="A824" s="35"/>
      <c r="B824" s="35"/>
      <c r="C824" s="35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</row>
    <row r="825">
      <c r="A825" s="35"/>
      <c r="B825" s="35"/>
      <c r="C825" s="35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</row>
    <row r="826">
      <c r="A826" s="35"/>
      <c r="B826" s="35"/>
      <c r="C826" s="35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</row>
    <row r="827">
      <c r="A827" s="35"/>
      <c r="B827" s="35"/>
      <c r="C827" s="35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</row>
    <row r="828">
      <c r="A828" s="35"/>
      <c r="B828" s="35"/>
      <c r="C828" s="35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</row>
    <row r="829">
      <c r="A829" s="35"/>
      <c r="B829" s="35"/>
      <c r="C829" s="35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</row>
    <row r="830">
      <c r="A830" s="35"/>
      <c r="B830" s="35"/>
      <c r="C830" s="35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</row>
    <row r="831">
      <c r="A831" s="35"/>
      <c r="B831" s="35"/>
      <c r="C831" s="35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</row>
    <row r="832">
      <c r="A832" s="35"/>
      <c r="B832" s="35"/>
      <c r="C832" s="35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</row>
    <row r="833">
      <c r="A833" s="35"/>
      <c r="B833" s="35"/>
      <c r="C833" s="35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</row>
    <row r="834">
      <c r="A834" s="35"/>
      <c r="B834" s="35"/>
      <c r="C834" s="35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</row>
    <row r="835">
      <c r="A835" s="35"/>
      <c r="B835" s="35"/>
      <c r="C835" s="35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</row>
    <row r="836">
      <c r="A836" s="35"/>
      <c r="B836" s="35"/>
      <c r="C836" s="35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</row>
    <row r="837">
      <c r="A837" s="35"/>
      <c r="B837" s="35"/>
      <c r="C837" s="35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</row>
    <row r="838">
      <c r="A838" s="35"/>
      <c r="B838" s="35"/>
      <c r="C838" s="35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</row>
    <row r="839">
      <c r="A839" s="35"/>
      <c r="B839" s="35"/>
      <c r="C839" s="35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</row>
    <row r="840">
      <c r="A840" s="35"/>
      <c r="B840" s="35"/>
      <c r="C840" s="35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</row>
    <row r="841">
      <c r="A841" s="35"/>
      <c r="B841" s="35"/>
      <c r="C841" s="35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</row>
    <row r="842">
      <c r="A842" s="35"/>
      <c r="B842" s="35"/>
      <c r="C842" s="35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</row>
    <row r="843">
      <c r="A843" s="35"/>
      <c r="B843" s="35"/>
      <c r="C843" s="35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</row>
    <row r="844">
      <c r="A844" s="35"/>
      <c r="B844" s="35"/>
      <c r="C844" s="35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</row>
    <row r="845">
      <c r="A845" s="35"/>
      <c r="B845" s="35"/>
      <c r="C845" s="35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</row>
    <row r="846">
      <c r="A846" s="35"/>
      <c r="B846" s="35"/>
      <c r="C846" s="35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</row>
    <row r="847">
      <c r="A847" s="35"/>
      <c r="B847" s="35"/>
      <c r="C847" s="35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</row>
    <row r="848">
      <c r="A848" s="35"/>
      <c r="B848" s="35"/>
      <c r="C848" s="35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</row>
    <row r="849">
      <c r="A849" s="35"/>
      <c r="B849" s="35"/>
      <c r="C849" s="35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</row>
    <row r="850">
      <c r="A850" s="35"/>
      <c r="B850" s="35"/>
      <c r="C850" s="35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</row>
    <row r="851">
      <c r="A851" s="35"/>
      <c r="B851" s="35"/>
      <c r="C851" s="35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</row>
    <row r="852">
      <c r="A852" s="35"/>
      <c r="B852" s="35"/>
      <c r="C852" s="35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</row>
    <row r="853">
      <c r="A853" s="35"/>
      <c r="B853" s="35"/>
      <c r="C853" s="35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</row>
    <row r="854">
      <c r="A854" s="35"/>
      <c r="B854" s="35"/>
      <c r="C854" s="35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</row>
    <row r="855">
      <c r="A855" s="35"/>
      <c r="B855" s="35"/>
      <c r="C855" s="35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</row>
    <row r="856">
      <c r="A856" s="35"/>
      <c r="B856" s="35"/>
      <c r="C856" s="35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</row>
    <row r="857">
      <c r="A857" s="35"/>
      <c r="B857" s="35"/>
      <c r="C857" s="35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</row>
    <row r="858">
      <c r="A858" s="35"/>
      <c r="B858" s="35"/>
      <c r="C858" s="35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</row>
    <row r="859">
      <c r="A859" s="35"/>
      <c r="B859" s="35"/>
      <c r="C859" s="35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</row>
    <row r="860">
      <c r="A860" s="35"/>
      <c r="B860" s="35"/>
      <c r="C860" s="35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</row>
    <row r="861">
      <c r="A861" s="35"/>
      <c r="B861" s="35"/>
      <c r="C861" s="35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</row>
    <row r="862">
      <c r="A862" s="35"/>
      <c r="B862" s="35"/>
      <c r="C862" s="35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</row>
    <row r="863">
      <c r="A863" s="35"/>
      <c r="B863" s="35"/>
      <c r="C863" s="35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</row>
    <row r="864">
      <c r="A864" s="35"/>
      <c r="B864" s="35"/>
      <c r="C864" s="35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</row>
    <row r="865">
      <c r="A865" s="35"/>
      <c r="B865" s="35"/>
      <c r="C865" s="35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</row>
    <row r="866">
      <c r="A866" s="35"/>
      <c r="B866" s="35"/>
      <c r="C866" s="35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</row>
    <row r="867">
      <c r="A867" s="35"/>
      <c r="B867" s="35"/>
      <c r="C867" s="35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</row>
    <row r="868">
      <c r="A868" s="35"/>
      <c r="B868" s="35"/>
      <c r="C868" s="35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</row>
    <row r="869">
      <c r="A869" s="35"/>
      <c r="B869" s="35"/>
      <c r="C869" s="35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</row>
    <row r="870">
      <c r="A870" s="35"/>
      <c r="B870" s="35"/>
      <c r="C870" s="35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</row>
    <row r="871">
      <c r="A871" s="35"/>
      <c r="B871" s="35"/>
      <c r="C871" s="35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</row>
    <row r="872">
      <c r="A872" s="35"/>
      <c r="B872" s="35"/>
      <c r="C872" s="35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</row>
    <row r="873">
      <c r="A873" s="35"/>
      <c r="B873" s="35"/>
      <c r="C873" s="35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</row>
    <row r="874">
      <c r="A874" s="35"/>
      <c r="B874" s="35"/>
      <c r="C874" s="35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</row>
    <row r="875">
      <c r="A875" s="35"/>
      <c r="B875" s="35"/>
      <c r="C875" s="35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</row>
    <row r="876">
      <c r="A876" s="35"/>
      <c r="B876" s="35"/>
      <c r="C876" s="35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</row>
    <row r="877">
      <c r="A877" s="35"/>
      <c r="B877" s="35"/>
      <c r="C877" s="35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</row>
    <row r="878">
      <c r="A878" s="35"/>
      <c r="B878" s="35"/>
      <c r="C878" s="35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</row>
    <row r="879">
      <c r="A879" s="35"/>
      <c r="B879" s="35"/>
      <c r="C879" s="35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</row>
    <row r="880">
      <c r="A880" s="35"/>
      <c r="B880" s="35"/>
      <c r="C880" s="35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</row>
    <row r="881">
      <c r="A881" s="35"/>
      <c r="B881" s="35"/>
      <c r="C881" s="35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</row>
    <row r="882">
      <c r="A882" s="35"/>
      <c r="B882" s="35"/>
      <c r="C882" s="35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</row>
    <row r="883">
      <c r="A883" s="35"/>
      <c r="B883" s="35"/>
      <c r="C883" s="35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</row>
    <row r="884">
      <c r="A884" s="35"/>
      <c r="B884" s="35"/>
      <c r="C884" s="35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</row>
    <row r="885">
      <c r="A885" s="35"/>
      <c r="B885" s="35"/>
      <c r="C885" s="35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</row>
    <row r="886">
      <c r="A886" s="35"/>
      <c r="B886" s="35"/>
      <c r="C886" s="35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</row>
    <row r="887">
      <c r="A887" s="35"/>
      <c r="B887" s="35"/>
      <c r="C887" s="35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</row>
    <row r="888">
      <c r="A888" s="35"/>
      <c r="B888" s="35"/>
      <c r="C888" s="35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</row>
    <row r="889">
      <c r="A889" s="35"/>
      <c r="B889" s="35"/>
      <c r="C889" s="35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</row>
    <row r="890">
      <c r="A890" s="35"/>
      <c r="B890" s="35"/>
      <c r="C890" s="35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</row>
    <row r="891">
      <c r="A891" s="35"/>
      <c r="B891" s="35"/>
      <c r="C891" s="35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</row>
    <row r="892">
      <c r="A892" s="35"/>
      <c r="B892" s="35"/>
      <c r="C892" s="35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</row>
    <row r="893">
      <c r="A893" s="35"/>
      <c r="B893" s="35"/>
      <c r="C893" s="35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</row>
    <row r="894">
      <c r="A894" s="35"/>
      <c r="B894" s="35"/>
      <c r="C894" s="35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</row>
    <row r="895">
      <c r="A895" s="35"/>
      <c r="B895" s="35"/>
      <c r="C895" s="35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</row>
    <row r="896">
      <c r="A896" s="35"/>
      <c r="B896" s="35"/>
      <c r="C896" s="35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</row>
    <row r="897">
      <c r="A897" s="35"/>
      <c r="B897" s="35"/>
      <c r="C897" s="35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</row>
    <row r="898">
      <c r="A898" s="35"/>
      <c r="B898" s="35"/>
      <c r="C898" s="35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</row>
    <row r="899">
      <c r="A899" s="35"/>
      <c r="B899" s="35"/>
      <c r="C899" s="35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</row>
    <row r="900">
      <c r="A900" s="35"/>
      <c r="B900" s="35"/>
      <c r="C900" s="35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</row>
    <row r="901">
      <c r="A901" s="35"/>
      <c r="B901" s="35"/>
      <c r="C901" s="35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</row>
    <row r="902">
      <c r="A902" s="35"/>
      <c r="B902" s="35"/>
      <c r="C902" s="35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</row>
    <row r="903">
      <c r="A903" s="35"/>
      <c r="B903" s="35"/>
      <c r="C903" s="35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</row>
    <row r="904">
      <c r="A904" s="35"/>
      <c r="B904" s="35"/>
      <c r="C904" s="35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</row>
    <row r="905">
      <c r="A905" s="35"/>
      <c r="B905" s="35"/>
      <c r="C905" s="35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</row>
    <row r="906">
      <c r="A906" s="35"/>
      <c r="B906" s="35"/>
      <c r="C906" s="35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</row>
    <row r="907">
      <c r="A907" s="35"/>
      <c r="B907" s="35"/>
      <c r="C907" s="35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</row>
    <row r="908">
      <c r="A908" s="35"/>
      <c r="B908" s="35"/>
      <c r="C908" s="35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</row>
    <row r="909">
      <c r="A909" s="35"/>
      <c r="B909" s="35"/>
      <c r="C909" s="35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</row>
    <row r="910">
      <c r="A910" s="35"/>
      <c r="B910" s="35"/>
      <c r="C910" s="35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</row>
    <row r="911">
      <c r="A911" s="35"/>
      <c r="B911" s="35"/>
      <c r="C911" s="35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</row>
    <row r="912">
      <c r="A912" s="35"/>
      <c r="B912" s="35"/>
      <c r="C912" s="35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</row>
    <row r="913">
      <c r="A913" s="35"/>
      <c r="B913" s="35"/>
      <c r="C913" s="35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</row>
    <row r="914">
      <c r="A914" s="35"/>
      <c r="B914" s="35"/>
      <c r="C914" s="35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</row>
    <row r="915">
      <c r="A915" s="35"/>
      <c r="B915" s="35"/>
      <c r="C915" s="35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</row>
    <row r="916">
      <c r="A916" s="35"/>
      <c r="B916" s="35"/>
      <c r="C916" s="35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</row>
    <row r="917">
      <c r="A917" s="35"/>
      <c r="B917" s="35"/>
      <c r="C917" s="35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</row>
    <row r="918">
      <c r="A918" s="35"/>
      <c r="B918" s="35"/>
      <c r="C918" s="35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</row>
    <row r="919">
      <c r="A919" s="35"/>
      <c r="B919" s="35"/>
      <c r="C919" s="35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</row>
    <row r="920">
      <c r="A920" s="35"/>
      <c r="B920" s="35"/>
      <c r="C920" s="35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</row>
    <row r="921">
      <c r="A921" s="35"/>
      <c r="B921" s="35"/>
      <c r="C921" s="35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</row>
    <row r="922">
      <c r="A922" s="35"/>
      <c r="B922" s="35"/>
      <c r="C922" s="35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</row>
    <row r="923">
      <c r="A923" s="35"/>
      <c r="B923" s="35"/>
      <c r="C923" s="35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</row>
    <row r="924">
      <c r="A924" s="35"/>
      <c r="B924" s="35"/>
      <c r="C924" s="35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</row>
    <row r="925">
      <c r="A925" s="35"/>
      <c r="B925" s="35"/>
      <c r="C925" s="35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</row>
    <row r="926">
      <c r="A926" s="35"/>
      <c r="B926" s="35"/>
      <c r="C926" s="35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</row>
    <row r="927">
      <c r="A927" s="35"/>
      <c r="B927" s="35"/>
      <c r="C927" s="35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</row>
    <row r="928">
      <c r="A928" s="35"/>
      <c r="B928" s="35"/>
      <c r="C928" s="35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</row>
    <row r="929">
      <c r="A929" s="35"/>
      <c r="B929" s="35"/>
      <c r="C929" s="35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</row>
    <row r="930">
      <c r="A930" s="35"/>
      <c r="B930" s="35"/>
      <c r="C930" s="35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</row>
    <row r="931">
      <c r="A931" s="35"/>
      <c r="B931" s="35"/>
      <c r="C931" s="35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</row>
    <row r="932">
      <c r="A932" s="35"/>
      <c r="B932" s="35"/>
      <c r="C932" s="35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</row>
    <row r="933">
      <c r="A933" s="35"/>
      <c r="B933" s="35"/>
      <c r="C933" s="35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</row>
    <row r="934">
      <c r="A934" s="35"/>
      <c r="B934" s="35"/>
      <c r="C934" s="35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</row>
    <row r="935">
      <c r="A935" s="35"/>
      <c r="B935" s="35"/>
      <c r="C935" s="35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</row>
    <row r="936">
      <c r="A936" s="35"/>
      <c r="B936" s="35"/>
      <c r="C936" s="35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</row>
    <row r="937">
      <c r="A937" s="35"/>
      <c r="B937" s="35"/>
      <c r="C937" s="35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</row>
    <row r="938">
      <c r="A938" s="35"/>
      <c r="B938" s="35"/>
      <c r="C938" s="35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</row>
    <row r="939">
      <c r="A939" s="35"/>
      <c r="B939" s="35"/>
      <c r="C939" s="35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</row>
    <row r="940">
      <c r="A940" s="35"/>
      <c r="B940" s="35"/>
      <c r="C940" s="35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</row>
    <row r="941">
      <c r="A941" s="35"/>
      <c r="B941" s="35"/>
      <c r="C941" s="35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</row>
    <row r="942">
      <c r="A942" s="35"/>
      <c r="B942" s="35"/>
      <c r="C942" s="35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</row>
    <row r="943">
      <c r="A943" s="35"/>
      <c r="B943" s="35"/>
      <c r="C943" s="35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</row>
    <row r="944">
      <c r="A944" s="35"/>
      <c r="B944" s="35"/>
      <c r="C944" s="35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</row>
    <row r="945">
      <c r="A945" s="35"/>
      <c r="B945" s="35"/>
      <c r="C945" s="35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</row>
    <row r="946">
      <c r="A946" s="35"/>
      <c r="B946" s="35"/>
      <c r="C946" s="35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</row>
    <row r="947">
      <c r="A947" s="35"/>
      <c r="B947" s="35"/>
      <c r="C947" s="35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</row>
    <row r="948">
      <c r="A948" s="35"/>
      <c r="B948" s="35"/>
      <c r="C948" s="35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</row>
    <row r="949">
      <c r="A949" s="35"/>
      <c r="B949" s="35"/>
      <c r="C949" s="35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</row>
    <row r="950">
      <c r="A950" s="35"/>
      <c r="B950" s="35"/>
      <c r="C950" s="35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</row>
    <row r="951">
      <c r="A951" s="35"/>
      <c r="B951" s="35"/>
      <c r="C951" s="35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</row>
    <row r="952">
      <c r="A952" s="35"/>
      <c r="B952" s="35"/>
      <c r="C952" s="35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</row>
    <row r="953">
      <c r="A953" s="35"/>
      <c r="B953" s="35"/>
      <c r="C953" s="35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</row>
    <row r="954">
      <c r="A954" s="35"/>
      <c r="B954" s="35"/>
      <c r="C954" s="35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</row>
    <row r="955">
      <c r="A955" s="35"/>
      <c r="B955" s="35"/>
      <c r="C955" s="35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</row>
    <row r="956">
      <c r="A956" s="35"/>
      <c r="B956" s="35"/>
      <c r="C956" s="35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</row>
    <row r="957">
      <c r="A957" s="35"/>
      <c r="B957" s="35"/>
      <c r="C957" s="35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</row>
    <row r="958">
      <c r="A958" s="35"/>
      <c r="B958" s="35"/>
      <c r="C958" s="35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</row>
    <row r="959">
      <c r="A959" s="35"/>
      <c r="B959" s="35"/>
      <c r="C959" s="35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</row>
    <row r="960">
      <c r="A960" s="35"/>
      <c r="B960" s="35"/>
      <c r="C960" s="35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</row>
    <row r="961">
      <c r="A961" s="35"/>
      <c r="B961" s="35"/>
      <c r="C961" s="35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</row>
    <row r="962">
      <c r="A962" s="35"/>
      <c r="B962" s="35"/>
      <c r="C962" s="35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</row>
    <row r="963">
      <c r="A963" s="35"/>
      <c r="B963" s="35"/>
      <c r="C963" s="35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</row>
    <row r="964">
      <c r="A964" s="35"/>
      <c r="B964" s="35"/>
      <c r="C964" s="35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</row>
    <row r="965">
      <c r="A965" s="35"/>
      <c r="B965" s="35"/>
      <c r="C965" s="35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</row>
    <row r="966">
      <c r="A966" s="35"/>
      <c r="B966" s="35"/>
      <c r="C966" s="35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</row>
    <row r="967">
      <c r="A967" s="35"/>
      <c r="B967" s="35"/>
      <c r="C967" s="35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</row>
    <row r="968">
      <c r="A968" s="35"/>
      <c r="B968" s="35"/>
      <c r="C968" s="35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</row>
    <row r="969">
      <c r="A969" s="35"/>
      <c r="B969" s="35"/>
      <c r="C969" s="35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</row>
    <row r="970">
      <c r="A970" s="35"/>
      <c r="B970" s="35"/>
      <c r="C970" s="35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</row>
    <row r="971">
      <c r="A971" s="35"/>
      <c r="B971" s="35"/>
      <c r="C971" s="35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</row>
  </sheetData>
  <mergeCells count="24">
    <mergeCell ref="K5:K6"/>
    <mergeCell ref="L5:L6"/>
    <mergeCell ref="M5:M6"/>
    <mergeCell ref="N5:N6"/>
    <mergeCell ref="B1:O4"/>
    <mergeCell ref="A5:A6"/>
    <mergeCell ref="B5:B6"/>
    <mergeCell ref="C5:C6"/>
    <mergeCell ref="D5:D6"/>
    <mergeCell ref="J5:J6"/>
    <mergeCell ref="O5:O6"/>
    <mergeCell ref="J30:J31"/>
    <mergeCell ref="K30:K31"/>
    <mergeCell ref="L30:L31"/>
    <mergeCell ref="M30:M31"/>
    <mergeCell ref="N30:N31"/>
    <mergeCell ref="O30:O31"/>
    <mergeCell ref="E5:I5"/>
    <mergeCell ref="B26:O29"/>
    <mergeCell ref="A30:A31"/>
    <mergeCell ref="B30:B31"/>
    <mergeCell ref="C30:C31"/>
    <mergeCell ref="D30:D31"/>
    <mergeCell ref="E30:I30"/>
  </mergeCells>
  <conditionalFormatting sqref="K7:K24 M7:M24 K32:K49 M32:M49">
    <cfRule type="cellIs" dxfId="0" priority="1" operator="between">
      <formula>"0%"</formula>
      <formula>"79.99%"</formula>
    </cfRule>
  </conditionalFormatting>
  <conditionalFormatting sqref="K7:K24 M7:M24 K32:K49 M32:M49">
    <cfRule type="cellIs" dxfId="1" priority="2" operator="between">
      <formula>"80%"</formula>
      <formula>"99.99%"</formula>
    </cfRule>
  </conditionalFormatting>
  <conditionalFormatting sqref="K7:K24 M7:M24 K32:K49 M32:M49">
    <cfRule type="cellIs" dxfId="2" priority="3" operator="between">
      <formula>"100%"</formula>
      <formula>"500%"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5.13"/>
    <col customWidth="1" min="3" max="3" width="22.88"/>
    <col customWidth="1" min="4" max="5" width="15.13"/>
    <col customWidth="1" min="13" max="13" width="13.63"/>
    <col customWidth="1" min="16" max="16" width="24.0"/>
  </cols>
  <sheetData>
    <row r="1" ht="14.25" customHeight="1">
      <c r="A1" s="69" t="s">
        <v>0</v>
      </c>
      <c r="B1" s="42" t="s">
        <v>88</v>
      </c>
    </row>
    <row r="2" ht="11.25" customHeight="1">
      <c r="A2" s="3"/>
    </row>
    <row r="3">
      <c r="A3" s="3"/>
    </row>
    <row r="4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>
      <c r="A5" s="5" t="s">
        <v>2</v>
      </c>
      <c r="B5" s="5" t="s">
        <v>3</v>
      </c>
      <c r="C5" s="5" t="s">
        <v>4</v>
      </c>
      <c r="D5" s="6" t="s">
        <v>5</v>
      </c>
      <c r="E5" s="7" t="s">
        <v>6</v>
      </c>
      <c r="F5" s="4"/>
      <c r="G5" s="4"/>
      <c r="H5" s="4"/>
      <c r="I5" s="8"/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12</v>
      </c>
    </row>
    <row r="6">
      <c r="A6" s="8"/>
      <c r="B6" s="8"/>
      <c r="C6" s="8"/>
      <c r="D6" s="8"/>
      <c r="E6" s="9" t="s">
        <v>13</v>
      </c>
      <c r="F6" s="9" t="s">
        <v>14</v>
      </c>
      <c r="G6" s="9" t="s">
        <v>15</v>
      </c>
      <c r="H6" s="9" t="s">
        <v>16</v>
      </c>
      <c r="I6" s="9" t="s">
        <v>17</v>
      </c>
      <c r="J6" s="8"/>
      <c r="K6" s="8"/>
      <c r="L6" s="8"/>
      <c r="M6" s="8"/>
      <c r="N6" s="8"/>
      <c r="O6" s="8"/>
    </row>
    <row r="7">
      <c r="A7" s="10">
        <v>95.0</v>
      </c>
      <c r="B7" s="11" t="s">
        <v>18</v>
      </c>
      <c r="C7" s="11" t="s">
        <v>19</v>
      </c>
      <c r="D7" s="12">
        <f>902500000/90%</f>
        <v>1002777778</v>
      </c>
      <c r="E7" s="12">
        <v>2.9100482957E8</v>
      </c>
      <c r="F7" s="12">
        <v>2.1871479891E8</v>
      </c>
      <c r="G7" s="12">
        <v>2.5336998741E8</v>
      </c>
      <c r="H7" s="13">
        <v>2.1449553441E8</v>
      </c>
      <c r="I7" s="13"/>
      <c r="J7" s="14">
        <f t="shared" ref="J7:J9" si="1">SUM(E7:I7)</f>
        <v>977585150.3</v>
      </c>
      <c r="K7" s="15">
        <f t="shared" ref="K7:K24" si="2">J7/D7</f>
        <v>0.9748771582</v>
      </c>
      <c r="L7" s="16">
        <f t="shared" ref="L7:L9" si="3">J7/O7*N7</f>
        <v>977585150.3</v>
      </c>
      <c r="M7" s="59">
        <f t="shared" ref="M7:M9" si="4">L7/D7</f>
        <v>0.9748771582</v>
      </c>
      <c r="N7" s="18">
        <v>23.0</v>
      </c>
      <c r="O7" s="19">
        <v>23.0</v>
      </c>
      <c r="P7" s="20" t="s">
        <v>89</v>
      </c>
    </row>
    <row r="8">
      <c r="A8" s="10">
        <v>6.0</v>
      </c>
      <c r="B8" s="11" t="s">
        <v>21</v>
      </c>
      <c r="C8" s="11" t="s">
        <v>19</v>
      </c>
      <c r="D8" s="12">
        <f>72000000/90%</f>
        <v>80000000</v>
      </c>
      <c r="E8" s="12">
        <v>4.056632624E7</v>
      </c>
      <c r="F8" s="12">
        <v>1.910755474E7</v>
      </c>
      <c r="G8" s="12">
        <v>1.697762294E7</v>
      </c>
      <c r="H8" s="13">
        <v>9920363.59</v>
      </c>
      <c r="I8" s="12"/>
      <c r="J8" s="14">
        <f t="shared" si="1"/>
        <v>86571867.51</v>
      </c>
      <c r="K8" s="15">
        <f t="shared" si="2"/>
        <v>1.082148344</v>
      </c>
      <c r="L8" s="16">
        <f t="shared" si="3"/>
        <v>86571867.51</v>
      </c>
      <c r="M8" s="59">
        <f t="shared" si="4"/>
        <v>1.082148344</v>
      </c>
      <c r="N8" s="18">
        <v>23.0</v>
      </c>
      <c r="O8" s="19">
        <v>23.0</v>
      </c>
      <c r="P8" s="20" t="s">
        <v>89</v>
      </c>
    </row>
    <row r="9">
      <c r="A9" s="10">
        <v>64.0</v>
      </c>
      <c r="B9" s="10" t="s">
        <v>22</v>
      </c>
      <c r="C9" s="11" t="s">
        <v>19</v>
      </c>
      <c r="D9" s="12">
        <v>5.0E8</v>
      </c>
      <c r="E9" s="12">
        <v>1.124645E8</v>
      </c>
      <c r="F9" s="12">
        <v>8.9674999E7</v>
      </c>
      <c r="G9" s="12">
        <v>7.079277E7</v>
      </c>
      <c r="H9" s="12">
        <v>6.7287E7</v>
      </c>
      <c r="I9" s="12"/>
      <c r="J9" s="14">
        <f t="shared" si="1"/>
        <v>340219269</v>
      </c>
      <c r="K9" s="15">
        <f t="shared" si="2"/>
        <v>0.680438538</v>
      </c>
      <c r="L9" s="16">
        <f t="shared" si="3"/>
        <v>340219269</v>
      </c>
      <c r="M9" s="59">
        <f t="shared" si="4"/>
        <v>0.680438538</v>
      </c>
      <c r="N9" s="18">
        <v>25.0</v>
      </c>
      <c r="O9" s="19">
        <v>25.0</v>
      </c>
      <c r="P9" s="20" t="s">
        <v>90</v>
      </c>
    </row>
    <row r="10">
      <c r="A10" s="10">
        <v>2.0</v>
      </c>
      <c r="B10" s="10" t="s">
        <v>24</v>
      </c>
      <c r="C10" s="10" t="s">
        <v>68</v>
      </c>
      <c r="D10" s="21">
        <v>1.0</v>
      </c>
      <c r="E10" s="21">
        <v>1.8098</v>
      </c>
      <c r="F10" s="21">
        <v>2.0694</v>
      </c>
      <c r="G10" s="21">
        <v>1.57</v>
      </c>
      <c r="H10" s="21">
        <v>1.5915</v>
      </c>
      <c r="I10" s="21"/>
      <c r="J10" s="57">
        <f t="shared" ref="J10:J11" si="5">H10</f>
        <v>1.5915</v>
      </c>
      <c r="K10" s="15">
        <f t="shared" si="2"/>
        <v>1.5915</v>
      </c>
      <c r="L10" s="58">
        <f t="shared" ref="L10:L11" si="6">K10</f>
        <v>1.5915</v>
      </c>
      <c r="M10" s="59">
        <f t="shared" ref="M10:M11" si="7">K10</f>
        <v>1.5915</v>
      </c>
      <c r="N10" s="18">
        <v>20.0</v>
      </c>
      <c r="O10" s="19">
        <v>20.0</v>
      </c>
      <c r="P10" s="20" t="s">
        <v>90</v>
      </c>
    </row>
    <row r="11">
      <c r="A11" s="10">
        <v>10.0</v>
      </c>
      <c r="B11" s="10" t="s">
        <v>25</v>
      </c>
      <c r="C11" s="11" t="s">
        <v>26</v>
      </c>
      <c r="D11" s="21">
        <v>0.8</v>
      </c>
      <c r="E11" s="21">
        <v>0.157</v>
      </c>
      <c r="F11" s="21">
        <v>0.238</v>
      </c>
      <c r="G11" s="21">
        <v>0.8474</v>
      </c>
      <c r="H11" s="24">
        <v>1.1577</v>
      </c>
      <c r="I11" s="24"/>
      <c r="J11" s="57">
        <f t="shared" si="5"/>
        <v>1.1577</v>
      </c>
      <c r="K11" s="15">
        <f t="shared" si="2"/>
        <v>1.447125</v>
      </c>
      <c r="L11" s="58">
        <f t="shared" si="6"/>
        <v>1.447125</v>
      </c>
      <c r="M11" s="78">
        <f t="shared" si="7"/>
        <v>1.447125</v>
      </c>
      <c r="N11" s="18">
        <v>20.0</v>
      </c>
      <c r="O11" s="19">
        <v>20.0</v>
      </c>
      <c r="P11" s="20" t="s">
        <v>90</v>
      </c>
    </row>
    <row r="12">
      <c r="A12" s="10">
        <v>26.0</v>
      </c>
      <c r="B12" s="10" t="s">
        <v>27</v>
      </c>
      <c r="C12" s="11" t="s">
        <v>19</v>
      </c>
      <c r="D12" s="19">
        <v>1840.0</v>
      </c>
      <c r="E12" s="18">
        <v>252.0</v>
      </c>
      <c r="F12" s="18">
        <v>148.0</v>
      </c>
      <c r="G12" s="18">
        <v>281.0</v>
      </c>
      <c r="H12" s="18">
        <v>332.0</v>
      </c>
      <c r="I12" s="29">
        <v>123.0</v>
      </c>
      <c r="J12" s="30">
        <f t="shared" ref="J12:J23" si="8">SUM(E12:I12)</f>
        <v>1136</v>
      </c>
      <c r="K12" s="15">
        <f t="shared" si="2"/>
        <v>0.6173913043</v>
      </c>
      <c r="L12" s="16">
        <f t="shared" ref="L12:L23" si="9">J12/O12*N12</f>
        <v>1136</v>
      </c>
      <c r="M12" s="59">
        <f t="shared" ref="M12:M23" si="10">L12/D12</f>
        <v>0.6173913043</v>
      </c>
      <c r="N12" s="18">
        <v>20.0</v>
      </c>
      <c r="O12" s="18">
        <v>20.0</v>
      </c>
      <c r="P12" s="20" t="s">
        <v>91</v>
      </c>
    </row>
    <row r="13">
      <c r="A13" s="10">
        <v>15.0</v>
      </c>
      <c r="B13" s="10" t="s">
        <v>29</v>
      </c>
      <c r="C13" s="11" t="s">
        <v>19</v>
      </c>
      <c r="D13" s="19">
        <v>5.1938E7</v>
      </c>
      <c r="E13" s="19">
        <v>8232000.0</v>
      </c>
      <c r="F13" s="12">
        <v>5120000.0</v>
      </c>
      <c r="G13" s="12">
        <v>1.2661E7</v>
      </c>
      <c r="H13" s="12">
        <v>1.674E7</v>
      </c>
      <c r="I13" s="19">
        <v>6701000.0</v>
      </c>
      <c r="J13" s="30">
        <f t="shared" si="8"/>
        <v>49454000</v>
      </c>
      <c r="K13" s="15">
        <f t="shared" si="2"/>
        <v>0.9521737456</v>
      </c>
      <c r="L13" s="16">
        <f t="shared" si="9"/>
        <v>49454000</v>
      </c>
      <c r="M13" s="59">
        <f t="shared" si="10"/>
        <v>0.9521737456</v>
      </c>
      <c r="N13" s="18">
        <v>20.0</v>
      </c>
      <c r="O13" s="18">
        <v>20.0</v>
      </c>
      <c r="P13" s="20" t="s">
        <v>92</v>
      </c>
    </row>
    <row r="14">
      <c r="A14" s="10">
        <v>35.0</v>
      </c>
      <c r="B14" s="10" t="s">
        <v>31</v>
      </c>
      <c r="C14" s="11" t="s">
        <v>19</v>
      </c>
      <c r="D14" s="12">
        <v>3.09568375E8</v>
      </c>
      <c r="E14" s="19">
        <v>2.380571E7</v>
      </c>
      <c r="F14" s="19">
        <v>6.2066484E7</v>
      </c>
      <c r="G14" s="19">
        <v>6.0485085E7</v>
      </c>
      <c r="H14" s="19">
        <v>4.3687376E7</v>
      </c>
      <c r="I14" s="19">
        <v>2.6859146E7</v>
      </c>
      <c r="J14" s="30">
        <f t="shared" si="8"/>
        <v>216903801</v>
      </c>
      <c r="K14" s="15">
        <f t="shared" si="2"/>
        <v>0.700665244</v>
      </c>
      <c r="L14" s="16">
        <f t="shared" si="9"/>
        <v>216903801</v>
      </c>
      <c r="M14" s="59">
        <f t="shared" si="10"/>
        <v>0.700665244</v>
      </c>
      <c r="N14" s="18">
        <v>20.0</v>
      </c>
      <c r="O14" s="18">
        <v>20.0</v>
      </c>
      <c r="P14" s="20" t="s">
        <v>93</v>
      </c>
    </row>
    <row r="15" ht="17.25" customHeight="1">
      <c r="A15" s="10">
        <v>102.0</v>
      </c>
      <c r="B15" s="11" t="s">
        <v>32</v>
      </c>
      <c r="C15" s="11" t="s">
        <v>19</v>
      </c>
      <c r="D15" s="19">
        <v>18885.0</v>
      </c>
      <c r="E15" s="18">
        <v>4307.0</v>
      </c>
      <c r="F15" s="18">
        <f>1790+813+1271+800</f>
        <v>4674</v>
      </c>
      <c r="G15" s="18">
        <f>815+1707+462</f>
        <v>2984</v>
      </c>
      <c r="H15" s="18">
        <f>1583+699+1206</f>
        <v>3488</v>
      </c>
      <c r="I15" s="18"/>
      <c r="J15" s="30">
        <f t="shared" si="8"/>
        <v>15453</v>
      </c>
      <c r="K15" s="15">
        <f t="shared" si="2"/>
        <v>0.818268467</v>
      </c>
      <c r="L15" s="16">
        <f t="shared" si="9"/>
        <v>15453</v>
      </c>
      <c r="M15" s="59">
        <f t="shared" si="10"/>
        <v>0.818268467</v>
      </c>
      <c r="N15" s="18">
        <v>20.0</v>
      </c>
      <c r="O15" s="18">
        <v>20.0</v>
      </c>
      <c r="P15" s="20" t="s">
        <v>94</v>
      </c>
    </row>
    <row r="16">
      <c r="A16" s="10">
        <v>10.0</v>
      </c>
      <c r="B16" s="10" t="s">
        <v>72</v>
      </c>
      <c r="C16" s="11" t="s">
        <v>19</v>
      </c>
      <c r="D16" s="19">
        <v>2100.0</v>
      </c>
      <c r="E16" s="18">
        <v>494.0</v>
      </c>
      <c r="F16" s="18">
        <f>196+136+58+100</f>
        <v>490</v>
      </c>
      <c r="G16" s="18">
        <f>104+262+50</f>
        <v>416</v>
      </c>
      <c r="H16" s="18">
        <f>123+163+216</f>
        <v>502</v>
      </c>
      <c r="I16" s="18"/>
      <c r="J16" s="45">
        <f t="shared" si="8"/>
        <v>1902</v>
      </c>
      <c r="K16" s="15">
        <f t="shared" si="2"/>
        <v>0.9057142857</v>
      </c>
      <c r="L16" s="16">
        <f t="shared" si="9"/>
        <v>1902</v>
      </c>
      <c r="M16" s="59">
        <f t="shared" si="10"/>
        <v>0.9057142857</v>
      </c>
      <c r="N16" s="18">
        <v>20.0</v>
      </c>
      <c r="O16" s="18">
        <v>20.0</v>
      </c>
      <c r="P16" s="20" t="str">
        <f>P15</f>
        <v>as of May 30, 2025 - final</v>
      </c>
    </row>
    <row r="17">
      <c r="A17" s="10">
        <v>28.0</v>
      </c>
      <c r="B17" s="11" t="s">
        <v>35</v>
      </c>
      <c r="C17" s="11" t="s">
        <v>19</v>
      </c>
      <c r="D17" s="19">
        <v>4.72327869E8</v>
      </c>
      <c r="E17" s="19">
        <v>9376000.0</v>
      </c>
      <c r="F17" s="79">
        <f>5458000+25924000+27019000+23639885+41978000+25651000</f>
        <v>149669885</v>
      </c>
      <c r="G17" s="79">
        <f>31451000+35574000+28816000+35236000+29079000</f>
        <v>160156000</v>
      </c>
      <c r="H17" s="19">
        <f>26473000+32440000+34768000+30343000+39431000+34547000</f>
        <v>198002000</v>
      </c>
      <c r="I17" s="19">
        <f>40361000+49771000+47175000+43412000+54829000</f>
        <v>235548000</v>
      </c>
      <c r="J17" s="30">
        <f t="shared" si="8"/>
        <v>752751885</v>
      </c>
      <c r="K17" s="15">
        <f t="shared" si="2"/>
        <v>1.593706267</v>
      </c>
      <c r="L17" s="16">
        <f t="shared" si="9"/>
        <v>752751885</v>
      </c>
      <c r="M17" s="59">
        <f t="shared" si="10"/>
        <v>1.593706267</v>
      </c>
      <c r="N17" s="18">
        <v>23.0</v>
      </c>
      <c r="O17" s="18">
        <v>23.0</v>
      </c>
      <c r="P17" s="20" t="s">
        <v>95</v>
      </c>
    </row>
    <row r="18">
      <c r="A18" s="10">
        <v>11.0</v>
      </c>
      <c r="B18" s="11" t="s">
        <v>37</v>
      </c>
      <c r="C18" s="11" t="s">
        <v>19</v>
      </c>
      <c r="D18" s="12">
        <v>1800.0</v>
      </c>
      <c r="E18" s="80">
        <v>27.0</v>
      </c>
      <c r="F18" s="81">
        <f>28+45+36+60+60</f>
        <v>229</v>
      </c>
      <c r="G18" s="82">
        <f>40+44+50+38</f>
        <v>172</v>
      </c>
      <c r="H18" s="34">
        <f>53+45+36+52+42</f>
        <v>228</v>
      </c>
      <c r="I18" s="34">
        <f>48+45+62+53+62</f>
        <v>270</v>
      </c>
      <c r="J18" s="30">
        <f t="shared" si="8"/>
        <v>926</v>
      </c>
      <c r="K18" s="15">
        <f t="shared" si="2"/>
        <v>0.5144444444</v>
      </c>
      <c r="L18" s="16">
        <f t="shared" si="9"/>
        <v>926</v>
      </c>
      <c r="M18" s="59">
        <f t="shared" si="10"/>
        <v>0.5144444444</v>
      </c>
      <c r="N18" s="18">
        <v>20.0</v>
      </c>
      <c r="O18" s="18">
        <v>20.0</v>
      </c>
      <c r="P18" s="20" t="str">
        <f t="shared" ref="P18:P20" si="11">P17</f>
        <v>as of May 30, 2025 - FINAL</v>
      </c>
    </row>
    <row r="19">
      <c r="A19" s="10">
        <v>1.0</v>
      </c>
      <c r="B19" s="11" t="s">
        <v>38</v>
      </c>
      <c r="C19" s="11" t="s">
        <v>19</v>
      </c>
      <c r="D19" s="12">
        <v>550.0</v>
      </c>
      <c r="E19" s="80">
        <v>23.0</v>
      </c>
      <c r="F19" s="83">
        <f>31+25+31+27+22</f>
        <v>136</v>
      </c>
      <c r="G19" s="82">
        <f>21+32+23+29</f>
        <v>105</v>
      </c>
      <c r="H19" s="29">
        <f>30+26+22+27+25</f>
        <v>130</v>
      </c>
      <c r="I19" s="29">
        <f>26+30+17+22+30</f>
        <v>125</v>
      </c>
      <c r="J19" s="30">
        <f t="shared" si="8"/>
        <v>519</v>
      </c>
      <c r="K19" s="15">
        <f t="shared" si="2"/>
        <v>0.9436363636</v>
      </c>
      <c r="L19" s="16">
        <f t="shared" si="9"/>
        <v>519</v>
      </c>
      <c r="M19" s="59">
        <f t="shared" si="10"/>
        <v>0.9436363636</v>
      </c>
      <c r="N19" s="18">
        <v>20.0</v>
      </c>
      <c r="O19" s="18">
        <v>20.0</v>
      </c>
      <c r="P19" s="20" t="str">
        <f t="shared" si="11"/>
        <v>as of May 30, 2025 - FINAL</v>
      </c>
    </row>
    <row r="20">
      <c r="A20" s="10">
        <v>15.0</v>
      </c>
      <c r="B20" s="10" t="s">
        <v>39</v>
      </c>
      <c r="C20" s="11" t="s">
        <v>19</v>
      </c>
      <c r="D20" s="12">
        <v>2500.0</v>
      </c>
      <c r="E20" s="19">
        <v>152.0</v>
      </c>
      <c r="F20" s="29">
        <f>241+190+145+153+153</f>
        <v>882</v>
      </c>
      <c r="G20" s="19">
        <f>98+142+216+142</f>
        <v>598</v>
      </c>
      <c r="H20" s="29">
        <f>160+105+126+126+162</f>
        <v>679</v>
      </c>
      <c r="I20" s="29">
        <f>131+142+137+149+141</f>
        <v>700</v>
      </c>
      <c r="J20" s="30">
        <f t="shared" si="8"/>
        <v>3011</v>
      </c>
      <c r="K20" s="15">
        <f t="shared" si="2"/>
        <v>1.2044</v>
      </c>
      <c r="L20" s="16">
        <f t="shared" si="9"/>
        <v>3011</v>
      </c>
      <c r="M20" s="59">
        <f t="shared" si="10"/>
        <v>1.2044</v>
      </c>
      <c r="N20" s="18">
        <v>20.0</v>
      </c>
      <c r="O20" s="18">
        <v>20.0</v>
      </c>
      <c r="P20" s="20" t="str">
        <f t="shared" si="11"/>
        <v>as of May 30, 2025 - FINAL</v>
      </c>
    </row>
    <row r="21">
      <c r="A21" s="10">
        <v>20.0</v>
      </c>
      <c r="B21" s="10" t="s">
        <v>40</v>
      </c>
      <c r="C21" s="11" t="s">
        <v>19</v>
      </c>
      <c r="D21" s="12">
        <v>300.0</v>
      </c>
      <c r="E21" s="19">
        <v>18.0</v>
      </c>
      <c r="F21" s="29">
        <v>52.0</v>
      </c>
      <c r="G21" s="29">
        <v>65.0</v>
      </c>
      <c r="H21" s="29">
        <v>94.0</v>
      </c>
      <c r="I21" s="29">
        <v>56.0</v>
      </c>
      <c r="J21" s="30">
        <f t="shared" si="8"/>
        <v>285</v>
      </c>
      <c r="K21" s="15">
        <f t="shared" si="2"/>
        <v>0.95</v>
      </c>
      <c r="L21" s="16">
        <f t="shared" si="9"/>
        <v>285</v>
      </c>
      <c r="M21" s="59">
        <f t="shared" si="10"/>
        <v>0.95</v>
      </c>
      <c r="N21" s="18">
        <v>21.0</v>
      </c>
      <c r="O21" s="18">
        <v>21.0</v>
      </c>
      <c r="P21" s="20" t="s">
        <v>90</v>
      </c>
    </row>
    <row r="22">
      <c r="A22" s="10">
        <v>21.0</v>
      </c>
      <c r="B22" s="10" t="s">
        <v>73</v>
      </c>
      <c r="C22" s="11" t="s">
        <v>19</v>
      </c>
      <c r="D22" s="12">
        <v>2520.0</v>
      </c>
      <c r="E22" s="19">
        <v>254.0</v>
      </c>
      <c r="F22" s="29">
        <v>272.0</v>
      </c>
      <c r="G22" s="29">
        <v>544.0</v>
      </c>
      <c r="H22" s="32">
        <v>814.0</v>
      </c>
      <c r="I22" s="29">
        <v>723.0</v>
      </c>
      <c r="J22" s="30">
        <f t="shared" si="8"/>
        <v>2607</v>
      </c>
      <c r="K22" s="15">
        <f t="shared" si="2"/>
        <v>1.03452381</v>
      </c>
      <c r="L22" s="16">
        <f t="shared" si="9"/>
        <v>2607</v>
      </c>
      <c r="M22" s="59">
        <f t="shared" si="10"/>
        <v>1.03452381</v>
      </c>
      <c r="N22" s="18">
        <v>21.0</v>
      </c>
      <c r="O22" s="18">
        <v>21.0</v>
      </c>
      <c r="P22" s="20" t="s">
        <v>96</v>
      </c>
    </row>
    <row r="23">
      <c r="A23" s="10">
        <v>1.0</v>
      </c>
      <c r="B23" s="10" t="s">
        <v>43</v>
      </c>
      <c r="C23" s="11" t="s">
        <v>19</v>
      </c>
      <c r="D23" s="12">
        <v>25.0</v>
      </c>
      <c r="E23" s="12">
        <v>2.0</v>
      </c>
      <c r="F23" s="12">
        <v>6.0</v>
      </c>
      <c r="G23" s="12">
        <v>6.0</v>
      </c>
      <c r="H23" s="12">
        <v>6.0</v>
      </c>
      <c r="I23" s="12">
        <v>8.0</v>
      </c>
      <c r="J23" s="14">
        <f t="shared" si="8"/>
        <v>28</v>
      </c>
      <c r="K23" s="15">
        <f t="shared" si="2"/>
        <v>1.12</v>
      </c>
      <c r="L23" s="16">
        <f t="shared" si="9"/>
        <v>28</v>
      </c>
      <c r="M23" s="59">
        <f t="shared" si="10"/>
        <v>1.12</v>
      </c>
      <c r="N23" s="18">
        <v>21.0</v>
      </c>
      <c r="O23" s="18">
        <v>21.0</v>
      </c>
      <c r="P23" s="20" t="s">
        <v>90</v>
      </c>
    </row>
    <row r="24">
      <c r="A24" s="10">
        <v>45.0</v>
      </c>
      <c r="B24" s="10" t="s">
        <v>44</v>
      </c>
      <c r="C24" s="11" t="s">
        <v>19</v>
      </c>
      <c r="D24" s="21">
        <v>0.85</v>
      </c>
      <c r="E24" s="21">
        <v>0.895</v>
      </c>
      <c r="F24" s="24">
        <v>0.9</v>
      </c>
      <c r="G24" s="24">
        <v>0.8</v>
      </c>
      <c r="H24" s="24">
        <v>0.69</v>
      </c>
      <c r="I24" s="24">
        <v>0.5</v>
      </c>
      <c r="J24" s="57">
        <f>AVERAGE(E24:I24)</f>
        <v>0.757</v>
      </c>
      <c r="K24" s="15">
        <f t="shared" si="2"/>
        <v>0.8905882353</v>
      </c>
      <c r="L24" s="22">
        <f>K24</f>
        <v>0.8905882353</v>
      </c>
      <c r="M24" s="59">
        <f>K24</f>
        <v>0.8905882353</v>
      </c>
      <c r="N24" s="18">
        <v>31.0</v>
      </c>
      <c r="O24" s="18">
        <v>31.0</v>
      </c>
      <c r="P24" s="20" t="s">
        <v>97</v>
      </c>
    </row>
    <row r="25">
      <c r="A25" s="35"/>
      <c r="B25" s="35"/>
      <c r="C25" s="35"/>
      <c r="D25" s="36"/>
      <c r="E25" s="37"/>
      <c r="F25" s="38"/>
      <c r="G25" s="38"/>
      <c r="H25" s="36"/>
      <c r="I25" s="38"/>
      <c r="J25" s="37"/>
      <c r="K25" s="39"/>
      <c r="L25" s="40"/>
      <c r="M25" s="41"/>
      <c r="N25" s="38"/>
      <c r="O25" s="38"/>
    </row>
    <row r="26" ht="15.0" customHeight="1">
      <c r="A26" s="1" t="s">
        <v>0</v>
      </c>
      <c r="B26" s="42" t="s">
        <v>98</v>
      </c>
    </row>
    <row r="27" ht="10.5" customHeight="1">
      <c r="A27" s="3"/>
    </row>
    <row r="28">
      <c r="A28" s="3"/>
    </row>
    <row r="29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>
      <c r="A30" s="5" t="s">
        <v>2</v>
      </c>
      <c r="B30" s="5" t="s">
        <v>3</v>
      </c>
      <c r="C30" s="5" t="s">
        <v>4</v>
      </c>
      <c r="D30" s="6" t="s">
        <v>5</v>
      </c>
      <c r="E30" s="7" t="s">
        <v>6</v>
      </c>
      <c r="F30" s="4"/>
      <c r="G30" s="4"/>
      <c r="H30" s="4"/>
      <c r="I30" s="8"/>
      <c r="J30" s="6" t="s">
        <v>7</v>
      </c>
      <c r="K30" s="6" t="s">
        <v>8</v>
      </c>
      <c r="L30" s="6" t="s">
        <v>9</v>
      </c>
      <c r="M30" s="6" t="s">
        <v>10</v>
      </c>
      <c r="N30" s="6" t="s">
        <v>11</v>
      </c>
      <c r="O30" s="6" t="s">
        <v>12</v>
      </c>
    </row>
    <row r="31">
      <c r="A31" s="8"/>
      <c r="B31" s="8"/>
      <c r="C31" s="8"/>
      <c r="D31" s="8"/>
      <c r="E31" s="9" t="s">
        <v>13</v>
      </c>
      <c r="F31" s="9" t="s">
        <v>14</v>
      </c>
      <c r="G31" s="9" t="s">
        <v>15</v>
      </c>
      <c r="H31" s="9" t="s">
        <v>16</v>
      </c>
      <c r="I31" s="9" t="s">
        <v>17</v>
      </c>
      <c r="J31" s="8"/>
      <c r="K31" s="8"/>
      <c r="L31" s="8"/>
      <c r="M31" s="8"/>
      <c r="N31" s="8"/>
      <c r="O31" s="8"/>
    </row>
    <row r="32">
      <c r="A32" s="10">
        <v>95.0</v>
      </c>
      <c r="B32" s="11" t="s">
        <v>18</v>
      </c>
      <c r="C32" s="11" t="s">
        <v>19</v>
      </c>
      <c r="D32" s="19">
        <v>9.025E8</v>
      </c>
      <c r="E32" s="12">
        <v>2.2919321625E8</v>
      </c>
      <c r="F32" s="12">
        <v>1.8610542365E8</v>
      </c>
      <c r="G32" s="12">
        <v>2.4681745481E8</v>
      </c>
      <c r="H32" s="13">
        <v>2.7125993528999996E8</v>
      </c>
      <c r="I32" s="13"/>
      <c r="J32" s="14">
        <f t="shared" ref="J32:J33" si="12">SUM(E32:I32)</f>
        <v>933376030</v>
      </c>
      <c r="K32" s="15">
        <f t="shared" ref="K32:K49" si="13">J32/D32</f>
        <v>1.034211668</v>
      </c>
      <c r="L32" s="16">
        <f t="shared" ref="L32:L34" si="14">J32/O32*N32</f>
        <v>933376030</v>
      </c>
      <c r="M32" s="59">
        <f t="shared" ref="M32:M34" si="15">L32/D32</f>
        <v>1.034211668</v>
      </c>
      <c r="N32" s="18">
        <v>20.0</v>
      </c>
      <c r="O32" s="19">
        <v>20.0</v>
      </c>
      <c r="P32" s="20" t="s">
        <v>90</v>
      </c>
    </row>
    <row r="33">
      <c r="A33" s="10">
        <v>6.0</v>
      </c>
      <c r="B33" s="11" t="s">
        <v>21</v>
      </c>
      <c r="C33" s="11" t="s">
        <v>19</v>
      </c>
      <c r="D33" s="19">
        <v>7.2E7</v>
      </c>
      <c r="E33" s="12">
        <v>3.290565814E7</v>
      </c>
      <c r="F33" s="12">
        <v>2.037233574E7</v>
      </c>
      <c r="G33" s="12">
        <v>1.769098473E7</v>
      </c>
      <c r="H33" s="13">
        <v>1.500331639E7</v>
      </c>
      <c r="I33" s="12"/>
      <c r="J33" s="14">
        <f t="shared" si="12"/>
        <v>85972295</v>
      </c>
      <c r="K33" s="15">
        <f t="shared" si="13"/>
        <v>1.194059653</v>
      </c>
      <c r="L33" s="16">
        <f t="shared" si="14"/>
        <v>85972295</v>
      </c>
      <c r="M33" s="59">
        <f t="shared" si="15"/>
        <v>1.194059653</v>
      </c>
      <c r="N33" s="18">
        <v>20.0</v>
      </c>
      <c r="O33" s="19">
        <v>20.0</v>
      </c>
      <c r="P33" s="20" t="s">
        <v>90</v>
      </c>
    </row>
    <row r="34">
      <c r="A34" s="10">
        <v>64.0</v>
      </c>
      <c r="B34" s="10" t="s">
        <v>22</v>
      </c>
      <c r="C34" s="11" t="s">
        <v>19</v>
      </c>
      <c r="D34" s="19">
        <v>3.5E8</v>
      </c>
      <c r="E34" s="12">
        <v>5.76735E7</v>
      </c>
      <c r="F34" s="12">
        <v>4.39745E7</v>
      </c>
      <c r="G34" s="12">
        <v>1.00751999E8</v>
      </c>
      <c r="H34" s="12">
        <v>5.949927E7</v>
      </c>
      <c r="I34" s="12"/>
      <c r="J34" s="12">
        <v>2.61641269E8</v>
      </c>
      <c r="K34" s="15">
        <f t="shared" si="13"/>
        <v>0.7475464829</v>
      </c>
      <c r="L34" s="16">
        <f t="shared" si="14"/>
        <v>261641269</v>
      </c>
      <c r="M34" s="59">
        <f t="shared" si="15"/>
        <v>0.7475464829</v>
      </c>
      <c r="N34" s="18">
        <v>20.0</v>
      </c>
      <c r="O34" s="19">
        <v>20.0</v>
      </c>
      <c r="P34" s="20" t="s">
        <v>90</v>
      </c>
    </row>
    <row r="35">
      <c r="A35" s="10">
        <v>2.0</v>
      </c>
      <c r="B35" s="10" t="s">
        <v>24</v>
      </c>
      <c r="C35" s="10" t="s">
        <v>68</v>
      </c>
      <c r="D35" s="21">
        <v>1.0</v>
      </c>
      <c r="E35" s="21">
        <v>1.8098</v>
      </c>
      <c r="F35" s="21">
        <v>2.0694</v>
      </c>
      <c r="G35" s="21">
        <v>1.57</v>
      </c>
      <c r="H35" s="21">
        <v>1.5915</v>
      </c>
      <c r="I35" s="21"/>
      <c r="J35" s="57">
        <f t="shared" ref="J35:J36" si="16">H35</f>
        <v>1.5915</v>
      </c>
      <c r="K35" s="15">
        <f t="shared" si="13"/>
        <v>1.5915</v>
      </c>
      <c r="L35" s="58">
        <f t="shared" ref="L35:L36" si="17">K35</f>
        <v>1.5915</v>
      </c>
      <c r="M35" s="59">
        <f t="shared" ref="M35:M36" si="18">K35</f>
        <v>1.5915</v>
      </c>
      <c r="N35" s="18">
        <v>20.0</v>
      </c>
      <c r="O35" s="19">
        <v>20.0</v>
      </c>
      <c r="P35" s="20" t="s">
        <v>90</v>
      </c>
    </row>
    <row r="36">
      <c r="A36" s="10">
        <v>10.0</v>
      </c>
      <c r="B36" s="10" t="s">
        <v>25</v>
      </c>
      <c r="C36" s="11" t="s">
        <v>26</v>
      </c>
      <c r="D36" s="21">
        <v>0.8</v>
      </c>
      <c r="E36" s="21">
        <v>0.157</v>
      </c>
      <c r="F36" s="21">
        <v>0.238</v>
      </c>
      <c r="G36" s="21">
        <v>0.8474</v>
      </c>
      <c r="H36" s="24">
        <v>1.1577</v>
      </c>
      <c r="I36" s="24"/>
      <c r="J36" s="57">
        <f t="shared" si="16"/>
        <v>1.1577</v>
      </c>
      <c r="K36" s="15">
        <f t="shared" si="13"/>
        <v>1.447125</v>
      </c>
      <c r="L36" s="58">
        <f t="shared" si="17"/>
        <v>1.447125</v>
      </c>
      <c r="M36" s="78">
        <f t="shared" si="18"/>
        <v>1.447125</v>
      </c>
      <c r="N36" s="18">
        <v>20.0</v>
      </c>
      <c r="O36" s="19">
        <v>20.0</v>
      </c>
      <c r="P36" s="20" t="s">
        <v>90</v>
      </c>
    </row>
    <row r="37">
      <c r="A37" s="10">
        <v>26.0</v>
      </c>
      <c r="B37" s="10" t="s">
        <v>27</v>
      </c>
      <c r="C37" s="11" t="s">
        <v>19</v>
      </c>
      <c r="D37" s="19">
        <v>1042.0</v>
      </c>
      <c r="E37" s="18">
        <v>19.0</v>
      </c>
      <c r="F37" s="18">
        <v>152.0</v>
      </c>
      <c r="G37" s="18">
        <v>145.0</v>
      </c>
      <c r="H37" s="18">
        <v>343.0</v>
      </c>
      <c r="I37" s="29">
        <v>271.0</v>
      </c>
      <c r="J37" s="45">
        <f t="shared" ref="J37:J39" si="19">sum(E37:I37)</f>
        <v>930</v>
      </c>
      <c r="K37" s="15">
        <f t="shared" si="13"/>
        <v>0.8925143954</v>
      </c>
      <c r="L37" s="16">
        <f t="shared" ref="L37:L48" si="20">J37/O37*N37</f>
        <v>930</v>
      </c>
      <c r="M37" s="59">
        <f t="shared" ref="M37:M49" si="21">L37/D37</f>
        <v>0.8925143954</v>
      </c>
      <c r="N37" s="18">
        <v>20.0</v>
      </c>
      <c r="O37" s="60">
        <v>20.0</v>
      </c>
      <c r="P37" s="61" t="s">
        <v>99</v>
      </c>
    </row>
    <row r="38">
      <c r="A38" s="10">
        <v>15.0</v>
      </c>
      <c r="B38" s="10" t="s">
        <v>29</v>
      </c>
      <c r="C38" s="11" t="s">
        <v>19</v>
      </c>
      <c r="D38" s="12">
        <v>1.38E7</v>
      </c>
      <c r="E38" s="19">
        <v>1515000.0</v>
      </c>
      <c r="F38" s="12">
        <v>1459000.0</v>
      </c>
      <c r="G38" s="19">
        <v>1988000.0</v>
      </c>
      <c r="H38" s="19">
        <v>848000.0</v>
      </c>
      <c r="I38" s="19"/>
      <c r="J38" s="30">
        <f t="shared" si="19"/>
        <v>5810000</v>
      </c>
      <c r="K38" s="15">
        <f t="shared" si="13"/>
        <v>0.4210144928</v>
      </c>
      <c r="L38" s="16">
        <f t="shared" si="20"/>
        <v>5810000</v>
      </c>
      <c r="M38" s="59">
        <f t="shared" si="21"/>
        <v>0.4210144928</v>
      </c>
      <c r="N38" s="62">
        <v>20.0</v>
      </c>
      <c r="O38" s="76">
        <v>20.0</v>
      </c>
      <c r="P38" s="61" t="s">
        <v>99</v>
      </c>
    </row>
    <row r="39">
      <c r="A39" s="10">
        <v>35.0</v>
      </c>
      <c r="B39" s="10" t="s">
        <v>31</v>
      </c>
      <c r="C39" s="11" t="s">
        <v>19</v>
      </c>
      <c r="D39" s="14">
        <f t="shared" ref="D39:I39" si="22">D14</f>
        <v>309568375</v>
      </c>
      <c r="E39" s="14">
        <f t="shared" si="22"/>
        <v>23805710</v>
      </c>
      <c r="F39" s="14">
        <f t="shared" si="22"/>
        <v>62066484</v>
      </c>
      <c r="G39" s="14">
        <f t="shared" si="22"/>
        <v>60485085</v>
      </c>
      <c r="H39" s="14">
        <f t="shared" si="22"/>
        <v>43687376</v>
      </c>
      <c r="I39" s="14">
        <f t="shared" si="22"/>
        <v>26859146</v>
      </c>
      <c r="J39" s="14">
        <f t="shared" si="19"/>
        <v>216903801</v>
      </c>
      <c r="K39" s="15">
        <f t="shared" si="13"/>
        <v>0.700665244</v>
      </c>
      <c r="L39" s="16">
        <f t="shared" si="20"/>
        <v>216903801</v>
      </c>
      <c r="M39" s="59">
        <f t="shared" si="21"/>
        <v>0.700665244</v>
      </c>
      <c r="N39" s="70">
        <f t="shared" ref="N39:P39" si="23">N14</f>
        <v>20</v>
      </c>
      <c r="O39" s="66">
        <f t="shared" si="23"/>
        <v>20</v>
      </c>
      <c r="P39" s="84" t="str">
        <f t="shared" si="23"/>
        <v>as of May 31 2025-unofficial</v>
      </c>
    </row>
    <row r="40">
      <c r="A40" s="10">
        <v>102.0</v>
      </c>
      <c r="B40" s="11" t="s">
        <v>32</v>
      </c>
      <c r="C40" s="10" t="s">
        <v>76</v>
      </c>
      <c r="D40" s="19">
        <f>D15</f>
        <v>18885</v>
      </c>
      <c r="E40" s="18">
        <v>3155.0</v>
      </c>
      <c r="F40" s="18">
        <f>2056+956+924+1057+2755</f>
        <v>7748</v>
      </c>
      <c r="G40" s="18">
        <v>800.0</v>
      </c>
      <c r="H40" s="18">
        <f>1018+818+1945</f>
        <v>3781</v>
      </c>
      <c r="I40" s="33"/>
      <c r="J40" s="45">
        <f t="shared" ref="J40:J48" si="24">SUM(E40:I40)</f>
        <v>15484</v>
      </c>
      <c r="K40" s="15">
        <f t="shared" si="13"/>
        <v>0.8199099815</v>
      </c>
      <c r="L40" s="16">
        <f t="shared" si="20"/>
        <v>15484</v>
      </c>
      <c r="M40" s="59">
        <f t="shared" si="21"/>
        <v>0.8199099815</v>
      </c>
      <c r="N40" s="62">
        <f>N15</f>
        <v>20</v>
      </c>
      <c r="O40" s="77">
        <v>20.0</v>
      </c>
      <c r="P40" s="71" t="str">
        <f>P15</f>
        <v>as of May 30, 2025 - final</v>
      </c>
    </row>
    <row r="41">
      <c r="A41" s="10">
        <v>10.0</v>
      </c>
      <c r="B41" s="10" t="s">
        <v>72</v>
      </c>
      <c r="C41" s="10" t="s">
        <v>76</v>
      </c>
      <c r="D41" s="19">
        <v>2100.0</v>
      </c>
      <c r="E41" s="18">
        <v>462.0</v>
      </c>
      <c r="F41" s="18">
        <f>155+201+68+427</f>
        <v>851</v>
      </c>
      <c r="G41" s="18">
        <v>100.0</v>
      </c>
      <c r="H41" s="18">
        <f>157+116+256</f>
        <v>529</v>
      </c>
      <c r="I41" s="33"/>
      <c r="J41" s="45">
        <f t="shared" si="24"/>
        <v>1942</v>
      </c>
      <c r="K41" s="15">
        <f t="shared" si="13"/>
        <v>0.9247619048</v>
      </c>
      <c r="L41" s="16">
        <f t="shared" si="20"/>
        <v>1942</v>
      </c>
      <c r="M41" s="59">
        <f t="shared" si="21"/>
        <v>0.9247619048</v>
      </c>
      <c r="N41" s="62">
        <f>N15</f>
        <v>20</v>
      </c>
      <c r="O41" s="63">
        <v>20.0</v>
      </c>
      <c r="P41" s="85" t="str">
        <f>P40</f>
        <v>as of May 30, 2025 - final</v>
      </c>
    </row>
    <row r="42">
      <c r="A42" s="10">
        <v>28.0</v>
      </c>
      <c r="B42" s="11" t="s">
        <v>35</v>
      </c>
      <c r="C42" s="11" t="s">
        <v>19</v>
      </c>
      <c r="D42" s="19">
        <f t="shared" ref="D42:I42" si="25">D17</f>
        <v>472327869</v>
      </c>
      <c r="E42" s="19">
        <f t="shared" si="25"/>
        <v>9376000</v>
      </c>
      <c r="F42" s="19">
        <f t="shared" si="25"/>
        <v>149669885</v>
      </c>
      <c r="G42" s="19">
        <f t="shared" si="25"/>
        <v>160156000</v>
      </c>
      <c r="H42" s="19">
        <f t="shared" si="25"/>
        <v>198002000</v>
      </c>
      <c r="I42" s="46">
        <f t="shared" si="25"/>
        <v>235548000</v>
      </c>
      <c r="J42" s="30">
        <f t="shared" si="24"/>
        <v>752751885</v>
      </c>
      <c r="K42" s="15">
        <f t="shared" si="13"/>
        <v>1.593706267</v>
      </c>
      <c r="L42" s="16">
        <f t="shared" si="20"/>
        <v>752751885</v>
      </c>
      <c r="M42" s="59">
        <f t="shared" si="21"/>
        <v>1.593706267</v>
      </c>
      <c r="N42" s="18">
        <f t="shared" ref="N42:P42" si="26">N17</f>
        <v>23</v>
      </c>
      <c r="O42" s="18">
        <f t="shared" si="26"/>
        <v>23</v>
      </c>
      <c r="P42" s="20" t="str">
        <f t="shared" si="26"/>
        <v>as of May 30, 2025 - FINAL</v>
      </c>
    </row>
    <row r="43">
      <c r="A43" s="10">
        <v>11.0</v>
      </c>
      <c r="B43" s="11" t="s">
        <v>37</v>
      </c>
      <c r="C43" s="11" t="s">
        <v>19</v>
      </c>
      <c r="D43" s="19">
        <f t="shared" ref="D43:I43" si="27">D18</f>
        <v>1800</v>
      </c>
      <c r="E43" s="19">
        <f t="shared" si="27"/>
        <v>27</v>
      </c>
      <c r="F43" s="19">
        <f t="shared" si="27"/>
        <v>229</v>
      </c>
      <c r="G43" s="19">
        <f t="shared" si="27"/>
        <v>172</v>
      </c>
      <c r="H43" s="19">
        <f t="shared" si="27"/>
        <v>228</v>
      </c>
      <c r="I43" s="46">
        <f t="shared" si="27"/>
        <v>270</v>
      </c>
      <c r="J43" s="30">
        <f t="shared" si="24"/>
        <v>926</v>
      </c>
      <c r="K43" s="15">
        <f t="shared" si="13"/>
        <v>0.5144444444</v>
      </c>
      <c r="L43" s="16">
        <f t="shared" si="20"/>
        <v>926</v>
      </c>
      <c r="M43" s="59">
        <f t="shared" si="21"/>
        <v>0.5144444444</v>
      </c>
      <c r="N43" s="18">
        <f t="shared" ref="N43:P43" si="28">N18</f>
        <v>20</v>
      </c>
      <c r="O43" s="18">
        <f t="shared" si="28"/>
        <v>20</v>
      </c>
      <c r="P43" s="20" t="str">
        <f t="shared" si="28"/>
        <v>as of May 30, 2025 - FINAL</v>
      </c>
    </row>
    <row r="44">
      <c r="A44" s="10">
        <v>1.0</v>
      </c>
      <c r="B44" s="11" t="s">
        <v>38</v>
      </c>
      <c r="C44" s="11" t="s">
        <v>19</v>
      </c>
      <c r="D44" s="19">
        <f t="shared" ref="D44:I44" si="29">D19</f>
        <v>550</v>
      </c>
      <c r="E44" s="19">
        <f t="shared" si="29"/>
        <v>23</v>
      </c>
      <c r="F44" s="19">
        <f t="shared" si="29"/>
        <v>136</v>
      </c>
      <c r="G44" s="19">
        <f t="shared" si="29"/>
        <v>105</v>
      </c>
      <c r="H44" s="19">
        <f t="shared" si="29"/>
        <v>130</v>
      </c>
      <c r="I44" s="46">
        <f t="shared" si="29"/>
        <v>125</v>
      </c>
      <c r="J44" s="30">
        <f t="shared" si="24"/>
        <v>519</v>
      </c>
      <c r="K44" s="15">
        <f t="shared" si="13"/>
        <v>0.9436363636</v>
      </c>
      <c r="L44" s="16">
        <f t="shared" si="20"/>
        <v>519</v>
      </c>
      <c r="M44" s="59">
        <f t="shared" si="21"/>
        <v>0.9436363636</v>
      </c>
      <c r="N44" s="18">
        <f t="shared" ref="N44:P44" si="30">N19</f>
        <v>20</v>
      </c>
      <c r="O44" s="18">
        <f t="shared" si="30"/>
        <v>20</v>
      </c>
      <c r="P44" s="20" t="str">
        <f t="shared" si="30"/>
        <v>as of May 30, 2025 - FINAL</v>
      </c>
    </row>
    <row r="45">
      <c r="A45" s="10">
        <v>15.0</v>
      </c>
      <c r="B45" s="10" t="s">
        <v>39</v>
      </c>
      <c r="C45" s="11" t="s">
        <v>19</v>
      </c>
      <c r="D45" s="19">
        <v>2500.0</v>
      </c>
      <c r="E45" s="19">
        <f t="shared" ref="E45:I45" si="31">E20</f>
        <v>152</v>
      </c>
      <c r="F45" s="19">
        <f t="shared" si="31"/>
        <v>882</v>
      </c>
      <c r="G45" s="19">
        <f t="shared" si="31"/>
        <v>598</v>
      </c>
      <c r="H45" s="19">
        <f t="shared" si="31"/>
        <v>679</v>
      </c>
      <c r="I45" s="46">
        <f t="shared" si="31"/>
        <v>700</v>
      </c>
      <c r="J45" s="30">
        <f t="shared" si="24"/>
        <v>3011</v>
      </c>
      <c r="K45" s="15">
        <f t="shared" si="13"/>
        <v>1.2044</v>
      </c>
      <c r="L45" s="16">
        <f t="shared" si="20"/>
        <v>3011</v>
      </c>
      <c r="M45" s="59">
        <f t="shared" si="21"/>
        <v>1.2044</v>
      </c>
      <c r="N45" s="18">
        <f t="shared" ref="N45:P45" si="32">N20</f>
        <v>20</v>
      </c>
      <c r="O45" s="18">
        <f t="shared" si="32"/>
        <v>20</v>
      </c>
      <c r="P45" s="20" t="str">
        <f t="shared" si="32"/>
        <v>as of May 30, 2025 - FINAL</v>
      </c>
    </row>
    <row r="46">
      <c r="A46" s="10">
        <v>15.0</v>
      </c>
      <c r="B46" s="10" t="s">
        <v>77</v>
      </c>
      <c r="C46" s="11" t="s">
        <v>19</v>
      </c>
      <c r="D46" s="12">
        <v>300.0</v>
      </c>
      <c r="E46" s="19">
        <v>18.0</v>
      </c>
      <c r="F46" s="29">
        <v>52.0</v>
      </c>
      <c r="G46" s="29">
        <v>65.0</v>
      </c>
      <c r="H46" s="29">
        <v>94.0</v>
      </c>
      <c r="I46" s="29">
        <v>56.0</v>
      </c>
      <c r="J46" s="30">
        <f t="shared" si="24"/>
        <v>285</v>
      </c>
      <c r="K46" s="15">
        <f t="shared" si="13"/>
        <v>0.95</v>
      </c>
      <c r="L46" s="16">
        <f t="shared" si="20"/>
        <v>285</v>
      </c>
      <c r="M46" s="59">
        <f t="shared" si="21"/>
        <v>0.95</v>
      </c>
      <c r="N46" s="18">
        <v>21.0</v>
      </c>
      <c r="O46" s="18">
        <f t="shared" ref="O46:P46" si="33">O21</f>
        <v>21</v>
      </c>
      <c r="P46" s="86" t="str">
        <f t="shared" si="33"/>
        <v>As of May 30, 2025 - FINAL</v>
      </c>
    </row>
    <row r="47">
      <c r="A47" s="10">
        <v>21.0</v>
      </c>
      <c r="B47" s="10" t="s">
        <v>73</v>
      </c>
      <c r="C47" s="11" t="s">
        <v>19</v>
      </c>
      <c r="D47" s="12">
        <v>1512.0</v>
      </c>
      <c r="E47" s="19">
        <v>360.0</v>
      </c>
      <c r="F47" s="29">
        <v>119.0</v>
      </c>
      <c r="G47" s="29">
        <v>49.0</v>
      </c>
      <c r="H47" s="87">
        <v>329.0</v>
      </c>
      <c r="I47" s="88">
        <v>688.0</v>
      </c>
      <c r="J47" s="30">
        <f t="shared" si="24"/>
        <v>1545</v>
      </c>
      <c r="K47" s="15">
        <f t="shared" si="13"/>
        <v>1.021825397</v>
      </c>
      <c r="L47" s="16">
        <f t="shared" si="20"/>
        <v>1545</v>
      </c>
      <c r="M47" s="59">
        <f t="shared" si="21"/>
        <v>1.021825397</v>
      </c>
      <c r="N47" s="18">
        <v>20.0</v>
      </c>
      <c r="O47" s="18">
        <v>20.0</v>
      </c>
      <c r="P47" s="20" t="s">
        <v>97</v>
      </c>
    </row>
    <row r="48">
      <c r="A48" s="10">
        <v>1.0</v>
      </c>
      <c r="B48" s="10" t="s">
        <v>43</v>
      </c>
      <c r="C48" s="11" t="s">
        <v>19</v>
      </c>
      <c r="D48" s="12">
        <v>25.0</v>
      </c>
      <c r="E48" s="12">
        <v>2.0</v>
      </c>
      <c r="F48" s="12">
        <v>6.0</v>
      </c>
      <c r="G48" s="12">
        <v>6.0</v>
      </c>
      <c r="H48" s="12">
        <v>6.0</v>
      </c>
      <c r="I48" s="12">
        <v>8.0</v>
      </c>
      <c r="J48" s="14">
        <f t="shared" si="24"/>
        <v>28</v>
      </c>
      <c r="K48" s="15">
        <f t="shared" si="13"/>
        <v>1.12</v>
      </c>
      <c r="L48" s="16">
        <f t="shared" si="20"/>
        <v>28</v>
      </c>
      <c r="M48" s="59">
        <f t="shared" si="21"/>
        <v>1.12</v>
      </c>
      <c r="N48" s="18">
        <v>21.0</v>
      </c>
      <c r="O48" s="18">
        <f t="shared" ref="O48:P48" si="34">O23</f>
        <v>21</v>
      </c>
      <c r="P48" s="68" t="str">
        <f t="shared" si="34"/>
        <v>As of May 30, 2025 - FINAL</v>
      </c>
    </row>
    <row r="49">
      <c r="A49" s="10">
        <v>45.0</v>
      </c>
      <c r="B49" s="10" t="s">
        <v>44</v>
      </c>
      <c r="C49" s="11" t="s">
        <v>19</v>
      </c>
      <c r="D49" s="21">
        <v>0.85</v>
      </c>
      <c r="E49" s="21">
        <v>0.895</v>
      </c>
      <c r="F49" s="24">
        <v>0.9</v>
      </c>
      <c r="G49" s="24">
        <v>0.8</v>
      </c>
      <c r="H49" s="24">
        <v>0.69</v>
      </c>
      <c r="I49" s="24">
        <v>0.5</v>
      </c>
      <c r="J49" s="57">
        <f>AVERAGE(E49:I49)</f>
        <v>0.757</v>
      </c>
      <c r="K49" s="15">
        <f t="shared" si="13"/>
        <v>0.8905882353</v>
      </c>
      <c r="L49" s="73">
        <f>J49</f>
        <v>0.757</v>
      </c>
      <c r="M49" s="59">
        <f t="shared" si="21"/>
        <v>0.8905882353</v>
      </c>
      <c r="N49" s="18">
        <v>30.0</v>
      </c>
      <c r="O49" s="18">
        <f t="shared" ref="O49:P49" si="35">O24</f>
        <v>31</v>
      </c>
      <c r="P49" s="68" t="str">
        <f t="shared" si="35"/>
        <v>As of May 31, 2025 - FINAL</v>
      </c>
    </row>
    <row r="50">
      <c r="A50" s="47"/>
      <c r="B50" s="48"/>
      <c r="C50" s="47"/>
      <c r="D50" s="49"/>
      <c r="E50" s="49"/>
      <c r="F50" s="50"/>
      <c r="G50" s="38"/>
      <c r="H50" s="36"/>
      <c r="I50" s="50"/>
      <c r="J50" s="50"/>
      <c r="K50" s="51"/>
      <c r="L50" s="52"/>
      <c r="M50" s="53"/>
      <c r="N50" s="54"/>
      <c r="O50" s="54"/>
    </row>
    <row r="51">
      <c r="A51" s="35"/>
      <c r="B51" s="35"/>
      <c r="C51" s="35"/>
      <c r="D51" s="38"/>
      <c r="E51" s="38"/>
      <c r="F51" s="38"/>
      <c r="G51" s="38"/>
      <c r="H51" s="38"/>
      <c r="I51" s="38"/>
      <c r="J51" s="38"/>
      <c r="K51" s="38"/>
      <c r="L51" s="38"/>
      <c r="M51" s="74"/>
      <c r="N51" s="38"/>
      <c r="O51" s="38"/>
    </row>
    <row r="52">
      <c r="A52" s="35"/>
      <c r="B52" s="35"/>
      <c r="C52" s="35"/>
      <c r="D52" s="38"/>
      <c r="E52" s="38"/>
      <c r="F52" s="36"/>
      <c r="G52" s="38"/>
      <c r="H52" s="38"/>
      <c r="I52" s="38"/>
      <c r="J52" s="55"/>
      <c r="K52" s="56"/>
      <c r="L52" s="38"/>
      <c r="M52" s="38"/>
      <c r="N52" s="38"/>
      <c r="O52" s="38"/>
    </row>
    <row r="53">
      <c r="A53" s="35"/>
      <c r="B53" s="35"/>
      <c r="C53" s="35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</row>
    <row r="54">
      <c r="A54" s="35"/>
      <c r="C54" s="35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</row>
    <row r="55">
      <c r="A55" s="35"/>
      <c r="B55" s="35"/>
      <c r="C55" s="35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</row>
    <row r="56">
      <c r="A56" s="35"/>
      <c r="B56" s="35"/>
      <c r="C56" s="35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</row>
    <row r="57">
      <c r="A57" s="35"/>
      <c r="B57" s="35"/>
      <c r="C57" s="35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</row>
    <row r="58">
      <c r="A58" s="35"/>
      <c r="B58" s="35"/>
      <c r="C58" s="35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</row>
    <row r="59">
      <c r="A59" s="35"/>
      <c r="B59" s="35"/>
      <c r="C59" s="35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</row>
    <row r="60">
      <c r="A60" s="35"/>
      <c r="B60" s="35"/>
      <c r="C60" s="35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</row>
    <row r="61">
      <c r="A61" s="35"/>
      <c r="B61" s="35"/>
      <c r="C61" s="35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</row>
    <row r="62">
      <c r="A62" s="35"/>
      <c r="B62" s="35"/>
      <c r="C62" s="35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</row>
    <row r="63">
      <c r="A63" s="35"/>
      <c r="B63" s="35"/>
      <c r="C63" s="35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</row>
    <row r="64">
      <c r="A64" s="35"/>
      <c r="B64" s="35"/>
      <c r="C64" s="35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</row>
    <row r="65">
      <c r="A65" s="35"/>
      <c r="B65" s="35"/>
      <c r="C65" s="35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</row>
    <row r="66">
      <c r="A66" s="35"/>
      <c r="B66" s="35"/>
      <c r="C66" s="35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</row>
    <row r="67">
      <c r="A67" s="35"/>
      <c r="B67" s="35"/>
      <c r="C67" s="35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</row>
    <row r="68">
      <c r="A68" s="35"/>
      <c r="B68" s="35"/>
      <c r="C68" s="35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</row>
    <row r="69">
      <c r="A69" s="35"/>
      <c r="B69" s="35"/>
      <c r="C69" s="35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</row>
    <row r="70">
      <c r="A70" s="35"/>
      <c r="B70" s="35"/>
      <c r="C70" s="35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</row>
    <row r="71">
      <c r="A71" s="35"/>
      <c r="B71" s="35"/>
      <c r="C71" s="35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</row>
    <row r="72">
      <c r="A72" s="35"/>
      <c r="B72" s="35"/>
      <c r="C72" s="35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</row>
    <row r="73">
      <c r="A73" s="35"/>
      <c r="B73" s="35"/>
      <c r="C73" s="35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</row>
    <row r="74">
      <c r="A74" s="35"/>
      <c r="B74" s="35"/>
      <c r="C74" s="35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</row>
    <row r="75">
      <c r="A75" s="35"/>
      <c r="B75" s="35"/>
      <c r="C75" s="35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</row>
    <row r="76">
      <c r="A76" s="35"/>
      <c r="B76" s="35"/>
      <c r="C76" s="35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</row>
    <row r="77">
      <c r="A77" s="35"/>
      <c r="B77" s="35"/>
      <c r="C77" s="35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</row>
    <row r="78">
      <c r="A78" s="35"/>
      <c r="B78" s="35"/>
      <c r="C78" s="35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</row>
    <row r="79">
      <c r="A79" s="35"/>
      <c r="B79" s="35"/>
      <c r="C79" s="35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</row>
    <row r="80">
      <c r="A80" s="35"/>
      <c r="B80" s="35"/>
      <c r="C80" s="35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</row>
    <row r="81">
      <c r="A81" s="35"/>
      <c r="B81" s="35"/>
      <c r="C81" s="35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</row>
    <row r="82">
      <c r="A82" s="35"/>
      <c r="B82" s="35"/>
      <c r="C82" s="35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</row>
    <row r="83">
      <c r="A83" s="35"/>
      <c r="B83" s="35"/>
      <c r="C83" s="35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</row>
    <row r="84">
      <c r="A84" s="35"/>
      <c r="B84" s="35"/>
      <c r="C84" s="35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</row>
    <row r="85">
      <c r="A85" s="35"/>
      <c r="B85" s="35"/>
      <c r="C85" s="35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</row>
    <row r="86">
      <c r="A86" s="35"/>
      <c r="B86" s="35"/>
      <c r="C86" s="35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</row>
    <row r="87">
      <c r="A87" s="35"/>
      <c r="B87" s="35"/>
      <c r="C87" s="35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</row>
    <row r="88">
      <c r="A88" s="35"/>
      <c r="B88" s="35"/>
      <c r="C88" s="35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</row>
    <row r="89">
      <c r="A89" s="35"/>
      <c r="B89" s="35"/>
      <c r="C89" s="35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</row>
    <row r="90">
      <c r="A90" s="35"/>
      <c r="B90" s="35"/>
      <c r="C90" s="35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</row>
    <row r="91">
      <c r="A91" s="35"/>
      <c r="B91" s="35"/>
      <c r="C91" s="35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</row>
    <row r="92">
      <c r="A92" s="35"/>
      <c r="B92" s="35"/>
      <c r="C92" s="35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</row>
    <row r="93">
      <c r="A93" s="35"/>
      <c r="B93" s="35"/>
      <c r="C93" s="35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</row>
    <row r="94">
      <c r="A94" s="35"/>
      <c r="B94" s="35"/>
      <c r="C94" s="35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</row>
    <row r="95">
      <c r="A95" s="35"/>
      <c r="B95" s="35"/>
      <c r="C95" s="35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</row>
    <row r="96">
      <c r="A96" s="35"/>
      <c r="B96" s="35"/>
      <c r="C96" s="35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</row>
    <row r="97">
      <c r="A97" s="35"/>
      <c r="B97" s="35"/>
      <c r="C97" s="35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</row>
    <row r="98">
      <c r="A98" s="35"/>
      <c r="B98" s="35"/>
      <c r="C98" s="35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</row>
    <row r="99">
      <c r="A99" s="35"/>
      <c r="B99" s="35"/>
      <c r="C99" s="35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</row>
    <row r="100">
      <c r="A100" s="35"/>
      <c r="B100" s="35"/>
      <c r="C100" s="35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</row>
    <row r="101">
      <c r="A101" s="35"/>
      <c r="B101" s="35"/>
      <c r="C101" s="35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</row>
    <row r="102">
      <c r="A102" s="35"/>
      <c r="B102" s="35"/>
      <c r="C102" s="35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</row>
    <row r="103">
      <c r="A103" s="35"/>
      <c r="B103" s="35"/>
      <c r="C103" s="35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</row>
    <row r="104">
      <c r="A104" s="35"/>
      <c r="B104" s="35"/>
      <c r="C104" s="35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</row>
    <row r="105">
      <c r="A105" s="35"/>
      <c r="B105" s="35"/>
      <c r="C105" s="35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</row>
    <row r="106">
      <c r="A106" s="35"/>
      <c r="B106" s="35"/>
      <c r="C106" s="35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</row>
    <row r="107">
      <c r="A107" s="35"/>
      <c r="B107" s="35"/>
      <c r="C107" s="35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</row>
    <row r="108">
      <c r="A108" s="35"/>
      <c r="B108" s="35"/>
      <c r="C108" s="35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</row>
    <row r="109">
      <c r="A109" s="35"/>
      <c r="B109" s="35"/>
      <c r="C109" s="35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</row>
    <row r="110">
      <c r="A110" s="35"/>
      <c r="B110" s="35"/>
      <c r="C110" s="35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</row>
    <row r="111">
      <c r="A111" s="35"/>
      <c r="B111" s="35"/>
      <c r="C111" s="35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</row>
    <row r="112">
      <c r="A112" s="35"/>
      <c r="B112" s="35"/>
      <c r="C112" s="35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</row>
    <row r="113">
      <c r="A113" s="35"/>
      <c r="B113" s="35"/>
      <c r="C113" s="35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</row>
    <row r="114">
      <c r="A114" s="35"/>
      <c r="B114" s="35"/>
      <c r="C114" s="35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</row>
    <row r="115">
      <c r="A115" s="35"/>
      <c r="B115" s="35"/>
      <c r="C115" s="35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</row>
    <row r="116">
      <c r="A116" s="35"/>
      <c r="B116" s="35"/>
      <c r="C116" s="35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</row>
    <row r="117">
      <c r="A117" s="35"/>
      <c r="B117" s="35"/>
      <c r="C117" s="35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</row>
    <row r="118">
      <c r="A118" s="35"/>
      <c r="B118" s="35"/>
      <c r="C118" s="35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</row>
    <row r="119">
      <c r="A119" s="35"/>
      <c r="B119" s="35"/>
      <c r="C119" s="35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</row>
    <row r="120">
      <c r="A120" s="35"/>
      <c r="B120" s="35"/>
      <c r="C120" s="35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</row>
    <row r="121">
      <c r="A121" s="35"/>
      <c r="B121" s="35"/>
      <c r="C121" s="35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</row>
    <row r="122">
      <c r="A122" s="35"/>
      <c r="B122" s="35"/>
      <c r="C122" s="35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</row>
    <row r="123">
      <c r="A123" s="35"/>
      <c r="B123" s="35"/>
      <c r="C123" s="35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</row>
    <row r="124">
      <c r="A124" s="35"/>
      <c r="B124" s="35"/>
      <c r="C124" s="35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</row>
    <row r="125">
      <c r="A125" s="35"/>
      <c r="B125" s="35"/>
      <c r="C125" s="35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</row>
    <row r="126">
      <c r="A126" s="35"/>
      <c r="B126" s="35"/>
      <c r="C126" s="35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</row>
    <row r="127">
      <c r="A127" s="35"/>
      <c r="B127" s="35"/>
      <c r="C127" s="35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</row>
    <row r="128">
      <c r="A128" s="35"/>
      <c r="B128" s="35"/>
      <c r="C128" s="35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</row>
    <row r="129">
      <c r="A129" s="35"/>
      <c r="B129" s="35"/>
      <c r="C129" s="35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</row>
    <row r="130">
      <c r="A130" s="35"/>
      <c r="B130" s="35"/>
      <c r="C130" s="35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</row>
    <row r="131">
      <c r="A131" s="35"/>
      <c r="B131" s="35"/>
      <c r="C131" s="35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</row>
    <row r="132">
      <c r="A132" s="35"/>
      <c r="B132" s="35"/>
      <c r="C132" s="35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</row>
    <row r="133">
      <c r="A133" s="35"/>
      <c r="B133" s="35"/>
      <c r="C133" s="35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</row>
    <row r="134">
      <c r="A134" s="35"/>
      <c r="B134" s="35"/>
      <c r="C134" s="35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</row>
    <row r="135">
      <c r="A135" s="35"/>
      <c r="B135" s="35"/>
      <c r="C135" s="35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</row>
    <row r="136">
      <c r="A136" s="35"/>
      <c r="B136" s="35"/>
      <c r="C136" s="35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</row>
    <row r="137">
      <c r="A137" s="35"/>
      <c r="B137" s="35"/>
      <c r="C137" s="35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</row>
    <row r="138">
      <c r="A138" s="35"/>
      <c r="B138" s="35"/>
      <c r="C138" s="35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</row>
    <row r="139">
      <c r="A139" s="35"/>
      <c r="B139" s="35"/>
      <c r="C139" s="35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</row>
    <row r="140">
      <c r="A140" s="35"/>
      <c r="B140" s="35"/>
      <c r="C140" s="35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</row>
    <row r="141">
      <c r="A141" s="35"/>
      <c r="B141" s="35"/>
      <c r="C141" s="35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</row>
    <row r="142">
      <c r="A142" s="35"/>
      <c r="B142" s="35"/>
      <c r="C142" s="35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</row>
    <row r="143">
      <c r="A143" s="35"/>
      <c r="B143" s="35"/>
      <c r="C143" s="35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</row>
    <row r="144">
      <c r="A144" s="35"/>
      <c r="B144" s="35"/>
      <c r="C144" s="35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</row>
    <row r="145">
      <c r="A145" s="35"/>
      <c r="B145" s="35"/>
      <c r="C145" s="35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</row>
    <row r="146">
      <c r="A146" s="35"/>
      <c r="B146" s="35"/>
      <c r="C146" s="35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</row>
    <row r="147">
      <c r="A147" s="35"/>
      <c r="B147" s="35"/>
      <c r="C147" s="35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</row>
    <row r="148">
      <c r="A148" s="35"/>
      <c r="B148" s="35"/>
      <c r="C148" s="35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</row>
    <row r="149">
      <c r="A149" s="35"/>
      <c r="B149" s="35"/>
      <c r="C149" s="35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</row>
    <row r="150">
      <c r="A150" s="35"/>
      <c r="B150" s="35"/>
      <c r="C150" s="35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</row>
    <row r="151">
      <c r="A151" s="35"/>
      <c r="B151" s="35"/>
      <c r="C151" s="35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</row>
    <row r="152">
      <c r="A152" s="35"/>
      <c r="B152" s="35"/>
      <c r="C152" s="35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</row>
    <row r="153">
      <c r="A153" s="35"/>
      <c r="B153" s="35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</row>
    <row r="154">
      <c r="A154" s="35"/>
      <c r="B154" s="35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</row>
    <row r="155">
      <c r="A155" s="35"/>
      <c r="B155" s="35"/>
      <c r="C155" s="35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</row>
    <row r="156">
      <c r="A156" s="35"/>
      <c r="B156" s="35"/>
      <c r="C156" s="35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</row>
    <row r="157">
      <c r="A157" s="35"/>
      <c r="B157" s="35"/>
      <c r="C157" s="35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</row>
    <row r="158">
      <c r="A158" s="35"/>
      <c r="B158" s="35"/>
      <c r="C158" s="35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</row>
    <row r="159">
      <c r="A159" s="35"/>
      <c r="B159" s="35"/>
      <c r="C159" s="35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</row>
    <row r="160">
      <c r="A160" s="35"/>
      <c r="B160" s="35"/>
      <c r="C160" s="35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</row>
    <row r="161">
      <c r="A161" s="35"/>
      <c r="B161" s="35"/>
      <c r="C161" s="35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</row>
    <row r="162">
      <c r="A162" s="35"/>
      <c r="B162" s="35"/>
      <c r="C162" s="35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</row>
    <row r="163">
      <c r="A163" s="35"/>
      <c r="B163" s="35"/>
      <c r="C163" s="35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</row>
    <row r="164">
      <c r="A164" s="35"/>
      <c r="B164" s="35"/>
      <c r="C164" s="35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</row>
    <row r="165">
      <c r="A165" s="35"/>
      <c r="B165" s="35"/>
      <c r="C165" s="35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</row>
    <row r="166">
      <c r="A166" s="35"/>
      <c r="B166" s="35"/>
      <c r="C166" s="35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</row>
    <row r="167">
      <c r="A167" s="35"/>
      <c r="B167" s="35"/>
      <c r="C167" s="35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</row>
    <row r="168">
      <c r="A168" s="35"/>
      <c r="B168" s="35"/>
      <c r="C168" s="35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</row>
    <row r="169">
      <c r="A169" s="35"/>
      <c r="B169" s="35"/>
      <c r="C169" s="35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</row>
    <row r="170">
      <c r="A170" s="35"/>
      <c r="B170" s="35"/>
      <c r="C170" s="35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</row>
    <row r="171">
      <c r="A171" s="35"/>
      <c r="B171" s="35"/>
      <c r="C171" s="35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</row>
    <row r="172">
      <c r="A172" s="35"/>
      <c r="B172" s="35"/>
      <c r="C172" s="35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</row>
    <row r="173">
      <c r="A173" s="35"/>
      <c r="B173" s="35"/>
      <c r="C173" s="35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</row>
    <row r="174">
      <c r="A174" s="35"/>
      <c r="B174" s="35"/>
      <c r="C174" s="35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</row>
    <row r="175">
      <c r="A175" s="35"/>
      <c r="B175" s="35"/>
      <c r="C175" s="35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</row>
    <row r="176">
      <c r="A176" s="35"/>
      <c r="B176" s="35"/>
      <c r="C176" s="35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</row>
    <row r="177">
      <c r="A177" s="35"/>
      <c r="B177" s="35"/>
      <c r="C177" s="35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</row>
    <row r="178">
      <c r="A178" s="35"/>
      <c r="B178" s="35"/>
      <c r="C178" s="35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</row>
    <row r="179">
      <c r="A179" s="35"/>
      <c r="B179" s="35"/>
      <c r="C179" s="35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</row>
    <row r="180">
      <c r="A180" s="35"/>
      <c r="B180" s="35"/>
      <c r="C180" s="35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</row>
    <row r="181">
      <c r="A181" s="35"/>
      <c r="B181" s="35"/>
      <c r="C181" s="35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</row>
    <row r="182">
      <c r="A182" s="35"/>
      <c r="B182" s="35"/>
      <c r="C182" s="35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</row>
    <row r="183">
      <c r="A183" s="35"/>
      <c r="B183" s="35"/>
      <c r="C183" s="35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</row>
    <row r="184">
      <c r="A184" s="35"/>
      <c r="B184" s="35"/>
      <c r="C184" s="35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</row>
    <row r="185">
      <c r="A185" s="35"/>
      <c r="B185" s="35"/>
      <c r="C185" s="35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</row>
    <row r="186">
      <c r="A186" s="35"/>
      <c r="B186" s="35"/>
      <c r="C186" s="35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</row>
    <row r="187">
      <c r="A187" s="35"/>
      <c r="B187" s="35"/>
      <c r="C187" s="35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</row>
    <row r="188">
      <c r="A188" s="35"/>
      <c r="B188" s="35"/>
      <c r="C188" s="35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</row>
    <row r="189">
      <c r="A189" s="35"/>
      <c r="B189" s="35"/>
      <c r="C189" s="35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</row>
    <row r="190">
      <c r="A190" s="35"/>
      <c r="B190" s="35"/>
      <c r="C190" s="35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</row>
    <row r="191">
      <c r="A191" s="35"/>
      <c r="B191" s="35"/>
      <c r="C191" s="35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</row>
    <row r="192">
      <c r="A192" s="35"/>
      <c r="B192" s="35"/>
      <c r="C192" s="35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</row>
    <row r="193">
      <c r="A193" s="35"/>
      <c r="B193" s="35"/>
      <c r="C193" s="35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</row>
    <row r="194">
      <c r="A194" s="35"/>
      <c r="B194" s="35"/>
      <c r="C194" s="35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</row>
    <row r="195">
      <c r="A195" s="35"/>
      <c r="B195" s="35"/>
      <c r="C195" s="35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</row>
    <row r="196">
      <c r="A196" s="35"/>
      <c r="B196" s="35"/>
      <c r="C196" s="35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</row>
    <row r="197">
      <c r="A197" s="35"/>
      <c r="B197" s="35"/>
      <c r="C197" s="35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</row>
    <row r="198">
      <c r="A198" s="35"/>
      <c r="B198" s="35"/>
      <c r="C198" s="35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</row>
    <row r="199">
      <c r="A199" s="35"/>
      <c r="B199" s="35"/>
      <c r="C199" s="35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</row>
    <row r="200">
      <c r="A200" s="35"/>
      <c r="B200" s="35"/>
      <c r="C200" s="35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</row>
    <row r="201">
      <c r="A201" s="35"/>
      <c r="B201" s="35"/>
      <c r="C201" s="35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</row>
    <row r="202">
      <c r="A202" s="35"/>
      <c r="B202" s="35"/>
      <c r="C202" s="35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</row>
    <row r="203">
      <c r="A203" s="35"/>
      <c r="B203" s="35"/>
      <c r="C203" s="35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</row>
    <row r="204">
      <c r="A204" s="35"/>
      <c r="B204" s="35"/>
      <c r="C204" s="35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</row>
    <row r="205">
      <c r="A205" s="35"/>
      <c r="B205" s="35"/>
      <c r="C205" s="35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</row>
    <row r="206">
      <c r="A206" s="35"/>
      <c r="B206" s="35"/>
      <c r="C206" s="35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</row>
    <row r="207">
      <c r="A207" s="35"/>
      <c r="B207" s="35"/>
      <c r="C207" s="35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</row>
    <row r="208">
      <c r="A208" s="35"/>
      <c r="B208" s="35"/>
      <c r="C208" s="35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</row>
    <row r="209">
      <c r="A209" s="35"/>
      <c r="B209" s="35"/>
      <c r="C209" s="35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</row>
    <row r="210">
      <c r="A210" s="35"/>
      <c r="B210" s="35"/>
      <c r="C210" s="35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</row>
    <row r="211">
      <c r="A211" s="35"/>
      <c r="B211" s="35"/>
      <c r="C211" s="35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</row>
    <row r="212">
      <c r="A212" s="35"/>
      <c r="B212" s="35"/>
      <c r="C212" s="35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</row>
    <row r="213">
      <c r="A213" s="35"/>
      <c r="B213" s="35"/>
      <c r="C213" s="35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</row>
    <row r="214">
      <c r="A214" s="35"/>
      <c r="B214" s="35"/>
      <c r="C214" s="35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</row>
    <row r="215">
      <c r="A215" s="35"/>
      <c r="B215" s="35"/>
      <c r="C215" s="35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</row>
    <row r="216">
      <c r="A216" s="35"/>
      <c r="B216" s="35"/>
      <c r="C216" s="35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</row>
    <row r="217">
      <c r="A217" s="35"/>
      <c r="B217" s="35"/>
      <c r="C217" s="35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</row>
    <row r="218">
      <c r="A218" s="35"/>
      <c r="B218" s="35"/>
      <c r="C218" s="35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</row>
    <row r="219">
      <c r="A219" s="35"/>
      <c r="B219" s="35"/>
      <c r="C219" s="35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</row>
    <row r="220">
      <c r="A220" s="35"/>
      <c r="B220" s="35"/>
      <c r="C220" s="35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</row>
    <row r="221">
      <c r="A221" s="35"/>
      <c r="B221" s="35"/>
      <c r="C221" s="35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</row>
    <row r="222">
      <c r="A222" s="35"/>
      <c r="B222" s="35"/>
      <c r="C222" s="35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</row>
    <row r="223">
      <c r="A223" s="35"/>
      <c r="B223" s="35"/>
      <c r="C223" s="35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</row>
    <row r="224">
      <c r="A224" s="35"/>
      <c r="B224" s="35"/>
      <c r="C224" s="35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</row>
    <row r="225">
      <c r="A225" s="35"/>
      <c r="B225" s="35"/>
      <c r="C225" s="35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</row>
    <row r="226">
      <c r="A226" s="35"/>
      <c r="B226" s="35"/>
      <c r="C226" s="35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</row>
    <row r="227">
      <c r="A227" s="35"/>
      <c r="B227" s="35"/>
      <c r="C227" s="35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</row>
    <row r="228">
      <c r="A228" s="35"/>
      <c r="B228" s="35"/>
      <c r="C228" s="35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</row>
    <row r="229">
      <c r="A229" s="35"/>
      <c r="B229" s="35"/>
      <c r="C229" s="35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</row>
    <row r="230">
      <c r="A230" s="35"/>
      <c r="B230" s="35"/>
      <c r="C230" s="35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</row>
    <row r="231">
      <c r="A231" s="35"/>
      <c r="B231" s="35"/>
      <c r="C231" s="35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</row>
    <row r="232">
      <c r="A232" s="35"/>
      <c r="B232" s="35"/>
      <c r="C232" s="35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</row>
    <row r="233">
      <c r="A233" s="35"/>
      <c r="B233" s="35"/>
      <c r="C233" s="35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</row>
    <row r="234">
      <c r="A234" s="35"/>
      <c r="B234" s="35"/>
      <c r="C234" s="35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</row>
    <row r="235">
      <c r="A235" s="35"/>
      <c r="B235" s="35"/>
      <c r="C235" s="35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</row>
    <row r="236">
      <c r="A236" s="35"/>
      <c r="B236" s="35"/>
      <c r="C236" s="35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</row>
    <row r="237">
      <c r="A237" s="35"/>
      <c r="B237" s="35"/>
      <c r="C237" s="35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</row>
    <row r="238">
      <c r="A238" s="35"/>
      <c r="B238" s="35"/>
      <c r="C238" s="35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</row>
    <row r="239">
      <c r="A239" s="35"/>
      <c r="B239" s="35"/>
      <c r="C239" s="35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</row>
    <row r="240">
      <c r="A240" s="35"/>
      <c r="B240" s="35"/>
      <c r="C240" s="35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</row>
    <row r="241">
      <c r="A241" s="35"/>
      <c r="B241" s="35"/>
      <c r="C241" s="35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</row>
    <row r="242">
      <c r="A242" s="35"/>
      <c r="B242" s="35"/>
      <c r="C242" s="35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</row>
    <row r="243">
      <c r="A243" s="35"/>
      <c r="B243" s="35"/>
      <c r="C243" s="35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</row>
    <row r="244">
      <c r="A244" s="35"/>
      <c r="B244" s="35"/>
      <c r="C244" s="35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</row>
    <row r="245">
      <c r="A245" s="35"/>
      <c r="B245" s="35"/>
      <c r="C245" s="35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</row>
    <row r="246">
      <c r="A246" s="35"/>
      <c r="B246" s="35"/>
      <c r="C246" s="35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</row>
    <row r="247">
      <c r="A247" s="35"/>
      <c r="B247" s="35"/>
      <c r="C247" s="35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</row>
    <row r="248">
      <c r="A248" s="35"/>
      <c r="B248" s="35"/>
      <c r="C248" s="35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</row>
    <row r="249">
      <c r="A249" s="35"/>
      <c r="B249" s="35"/>
      <c r="C249" s="35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</row>
    <row r="250">
      <c r="A250" s="35"/>
      <c r="B250" s="35"/>
      <c r="C250" s="35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</row>
    <row r="251">
      <c r="A251" s="35"/>
      <c r="B251" s="35"/>
      <c r="C251" s="35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</row>
    <row r="252">
      <c r="A252" s="35"/>
      <c r="B252" s="35"/>
      <c r="C252" s="35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</row>
    <row r="253">
      <c r="A253" s="35"/>
      <c r="B253" s="35"/>
      <c r="C253" s="35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</row>
    <row r="254">
      <c r="A254" s="35"/>
      <c r="B254" s="35"/>
      <c r="C254" s="35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</row>
    <row r="255">
      <c r="A255" s="35"/>
      <c r="B255" s="35"/>
      <c r="C255" s="35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</row>
    <row r="256">
      <c r="A256" s="35"/>
      <c r="B256" s="35"/>
      <c r="C256" s="35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</row>
    <row r="257">
      <c r="A257" s="35"/>
      <c r="B257" s="35"/>
      <c r="C257" s="35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</row>
    <row r="258">
      <c r="A258" s="35"/>
      <c r="B258" s="35"/>
      <c r="C258" s="35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</row>
    <row r="259">
      <c r="A259" s="35"/>
      <c r="B259" s="35"/>
      <c r="C259" s="35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</row>
    <row r="260">
      <c r="A260" s="35"/>
      <c r="B260" s="35"/>
      <c r="C260" s="35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</row>
    <row r="261">
      <c r="A261" s="35"/>
      <c r="B261" s="35"/>
      <c r="C261" s="35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</row>
    <row r="262">
      <c r="A262" s="35"/>
      <c r="B262" s="35"/>
      <c r="C262" s="35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</row>
    <row r="263">
      <c r="A263" s="35"/>
      <c r="B263" s="35"/>
      <c r="C263" s="35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</row>
    <row r="264">
      <c r="A264" s="35"/>
      <c r="B264" s="35"/>
      <c r="C264" s="35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</row>
    <row r="265">
      <c r="A265" s="35"/>
      <c r="B265" s="35"/>
      <c r="C265" s="35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</row>
    <row r="266">
      <c r="A266" s="35"/>
      <c r="B266" s="35"/>
      <c r="C266" s="35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</row>
    <row r="267">
      <c r="A267" s="35"/>
      <c r="B267" s="35"/>
      <c r="C267" s="35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</row>
    <row r="268">
      <c r="A268" s="35"/>
      <c r="B268" s="35"/>
      <c r="C268" s="35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</row>
    <row r="269">
      <c r="A269" s="35"/>
      <c r="B269" s="35"/>
      <c r="C269" s="35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</row>
    <row r="270">
      <c r="A270" s="35"/>
      <c r="B270" s="35"/>
      <c r="C270" s="35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</row>
    <row r="271">
      <c r="A271" s="35"/>
      <c r="B271" s="35"/>
      <c r="C271" s="35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</row>
    <row r="272">
      <c r="A272" s="35"/>
      <c r="B272" s="35"/>
      <c r="C272" s="35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</row>
    <row r="273">
      <c r="A273" s="35"/>
      <c r="B273" s="35"/>
      <c r="C273" s="35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</row>
    <row r="274">
      <c r="A274" s="35"/>
      <c r="B274" s="35"/>
      <c r="C274" s="35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</row>
    <row r="275">
      <c r="A275" s="35"/>
      <c r="B275" s="35"/>
      <c r="C275" s="35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</row>
    <row r="276">
      <c r="A276" s="35"/>
      <c r="B276" s="35"/>
      <c r="C276" s="35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</row>
    <row r="277">
      <c r="A277" s="35"/>
      <c r="B277" s="35"/>
      <c r="C277" s="35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</row>
    <row r="278">
      <c r="A278" s="35"/>
      <c r="B278" s="35"/>
      <c r="C278" s="35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</row>
    <row r="279">
      <c r="A279" s="35"/>
      <c r="B279" s="35"/>
      <c r="C279" s="35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</row>
    <row r="280">
      <c r="A280" s="35"/>
      <c r="B280" s="35"/>
      <c r="C280" s="35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</row>
    <row r="281">
      <c r="A281" s="35"/>
      <c r="B281" s="35"/>
      <c r="C281" s="35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</row>
    <row r="282">
      <c r="A282" s="35"/>
      <c r="B282" s="35"/>
      <c r="C282" s="35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</row>
    <row r="283">
      <c r="A283" s="35"/>
      <c r="B283" s="35"/>
      <c r="C283" s="35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</row>
    <row r="284">
      <c r="A284" s="35"/>
      <c r="B284" s="35"/>
      <c r="C284" s="35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</row>
    <row r="285">
      <c r="A285" s="35"/>
      <c r="B285" s="35"/>
      <c r="C285" s="35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</row>
    <row r="286">
      <c r="A286" s="35"/>
      <c r="B286" s="35"/>
      <c r="C286" s="35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</row>
    <row r="287">
      <c r="A287" s="35"/>
      <c r="B287" s="35"/>
      <c r="C287" s="35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</row>
    <row r="288">
      <c r="A288" s="35"/>
      <c r="B288" s="35"/>
      <c r="C288" s="35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</row>
    <row r="289">
      <c r="A289" s="35"/>
      <c r="B289" s="35"/>
      <c r="C289" s="35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</row>
    <row r="290">
      <c r="A290" s="35"/>
      <c r="B290" s="35"/>
      <c r="C290" s="35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</row>
    <row r="291">
      <c r="A291" s="35"/>
      <c r="B291" s="35"/>
      <c r="C291" s="35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</row>
    <row r="292">
      <c r="A292" s="35"/>
      <c r="B292" s="35"/>
      <c r="C292" s="35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</row>
    <row r="293">
      <c r="A293" s="35"/>
      <c r="B293" s="35"/>
      <c r="C293" s="35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</row>
    <row r="294">
      <c r="A294" s="35"/>
      <c r="B294" s="35"/>
      <c r="C294" s="35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</row>
    <row r="295">
      <c r="A295" s="35"/>
      <c r="B295" s="35"/>
      <c r="C295" s="35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</row>
    <row r="296">
      <c r="A296" s="35"/>
      <c r="B296" s="35"/>
      <c r="C296" s="35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</row>
    <row r="297">
      <c r="A297" s="35"/>
      <c r="B297" s="35"/>
      <c r="C297" s="35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</row>
    <row r="298">
      <c r="A298" s="35"/>
      <c r="B298" s="35"/>
      <c r="C298" s="35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</row>
    <row r="299">
      <c r="A299" s="35"/>
      <c r="B299" s="35"/>
      <c r="C299" s="35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</row>
    <row r="300">
      <c r="A300" s="35"/>
      <c r="B300" s="35"/>
      <c r="C300" s="35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</row>
    <row r="301">
      <c r="A301" s="35"/>
      <c r="B301" s="35"/>
      <c r="C301" s="35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</row>
    <row r="302">
      <c r="A302" s="35"/>
      <c r="B302" s="35"/>
      <c r="C302" s="35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</row>
    <row r="303">
      <c r="A303" s="35"/>
      <c r="B303" s="35"/>
      <c r="C303" s="35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</row>
    <row r="304">
      <c r="A304" s="35"/>
      <c r="B304" s="35"/>
      <c r="C304" s="35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</row>
    <row r="305">
      <c r="A305" s="35"/>
      <c r="B305" s="35"/>
      <c r="C305" s="35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</row>
    <row r="306">
      <c r="A306" s="35"/>
      <c r="B306" s="35"/>
      <c r="C306" s="35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</row>
    <row r="307">
      <c r="A307" s="35"/>
      <c r="B307" s="35"/>
      <c r="C307" s="35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</row>
    <row r="308">
      <c r="A308" s="35"/>
      <c r="B308" s="35"/>
      <c r="C308" s="35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</row>
    <row r="309">
      <c r="A309" s="35"/>
      <c r="B309" s="35"/>
      <c r="C309" s="35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</row>
    <row r="310">
      <c r="A310" s="35"/>
      <c r="B310" s="35"/>
      <c r="C310" s="35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</row>
    <row r="311">
      <c r="A311" s="35"/>
      <c r="B311" s="35"/>
      <c r="C311" s="35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</row>
    <row r="312">
      <c r="A312" s="35"/>
      <c r="B312" s="35"/>
      <c r="C312" s="35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</row>
    <row r="313">
      <c r="A313" s="35"/>
      <c r="B313" s="35"/>
      <c r="C313" s="35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</row>
    <row r="314">
      <c r="A314" s="35"/>
      <c r="B314" s="35"/>
      <c r="C314" s="35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</row>
    <row r="315">
      <c r="A315" s="35"/>
      <c r="B315" s="35"/>
      <c r="C315" s="35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</row>
    <row r="316">
      <c r="A316" s="35"/>
      <c r="B316" s="35"/>
      <c r="C316" s="35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</row>
    <row r="317">
      <c r="A317" s="35"/>
      <c r="B317" s="35"/>
      <c r="C317" s="35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</row>
    <row r="318">
      <c r="A318" s="35"/>
      <c r="B318" s="35"/>
      <c r="C318" s="35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</row>
    <row r="319">
      <c r="A319" s="35"/>
      <c r="B319" s="35"/>
      <c r="C319" s="35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</row>
    <row r="320">
      <c r="A320" s="35"/>
      <c r="B320" s="35"/>
      <c r="C320" s="35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</row>
    <row r="321">
      <c r="A321" s="35"/>
      <c r="B321" s="35"/>
      <c r="C321" s="35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</row>
    <row r="322">
      <c r="A322" s="35"/>
      <c r="B322" s="35"/>
      <c r="C322" s="35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</row>
    <row r="323">
      <c r="A323" s="35"/>
      <c r="B323" s="35"/>
      <c r="C323" s="35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</row>
    <row r="324">
      <c r="A324" s="35"/>
      <c r="B324" s="35"/>
      <c r="C324" s="35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</row>
    <row r="325">
      <c r="A325" s="35"/>
      <c r="B325" s="35"/>
      <c r="C325" s="35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</row>
    <row r="326">
      <c r="A326" s="35"/>
      <c r="B326" s="35"/>
      <c r="C326" s="35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</row>
    <row r="327">
      <c r="A327" s="35"/>
      <c r="B327" s="35"/>
      <c r="C327" s="35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</row>
    <row r="328">
      <c r="A328" s="35"/>
      <c r="B328" s="35"/>
      <c r="C328" s="35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</row>
    <row r="329">
      <c r="A329" s="35"/>
      <c r="B329" s="35"/>
      <c r="C329" s="35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</row>
    <row r="330">
      <c r="A330" s="35"/>
      <c r="B330" s="35"/>
      <c r="C330" s="35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</row>
    <row r="331">
      <c r="A331" s="35"/>
      <c r="B331" s="35"/>
      <c r="C331" s="35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</row>
    <row r="332">
      <c r="A332" s="35"/>
      <c r="B332" s="35"/>
      <c r="C332" s="35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</row>
    <row r="333">
      <c r="A333" s="35"/>
      <c r="B333" s="35"/>
      <c r="C333" s="35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</row>
    <row r="334">
      <c r="A334" s="35"/>
      <c r="B334" s="35"/>
      <c r="C334" s="35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</row>
    <row r="335">
      <c r="A335" s="35"/>
      <c r="B335" s="35"/>
      <c r="C335" s="35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</row>
    <row r="336">
      <c r="A336" s="35"/>
      <c r="B336" s="35"/>
      <c r="C336" s="35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</row>
    <row r="337">
      <c r="A337" s="35"/>
      <c r="B337" s="35"/>
      <c r="C337" s="35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</row>
    <row r="338">
      <c r="A338" s="35"/>
      <c r="B338" s="35"/>
      <c r="C338" s="35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</row>
    <row r="339">
      <c r="A339" s="35"/>
      <c r="B339" s="35"/>
      <c r="C339" s="35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</row>
    <row r="340">
      <c r="A340" s="35"/>
      <c r="B340" s="35"/>
      <c r="C340" s="35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</row>
    <row r="341">
      <c r="A341" s="35"/>
      <c r="B341" s="35"/>
      <c r="C341" s="35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</row>
    <row r="342">
      <c r="A342" s="35"/>
      <c r="B342" s="35"/>
      <c r="C342" s="35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</row>
    <row r="343">
      <c r="A343" s="35"/>
      <c r="B343" s="35"/>
      <c r="C343" s="35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</row>
    <row r="344">
      <c r="A344" s="35"/>
      <c r="B344" s="35"/>
      <c r="C344" s="35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</row>
    <row r="345">
      <c r="A345" s="35"/>
      <c r="B345" s="35"/>
      <c r="C345" s="35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</row>
    <row r="346">
      <c r="A346" s="35"/>
      <c r="B346" s="35"/>
      <c r="C346" s="35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</row>
    <row r="347">
      <c r="A347" s="35"/>
      <c r="B347" s="35"/>
      <c r="C347" s="35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</row>
    <row r="348">
      <c r="A348" s="35"/>
      <c r="B348" s="35"/>
      <c r="C348" s="35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</row>
    <row r="349">
      <c r="A349" s="35"/>
      <c r="B349" s="35"/>
      <c r="C349" s="35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</row>
    <row r="350">
      <c r="A350" s="35"/>
      <c r="B350" s="35"/>
      <c r="C350" s="35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</row>
    <row r="351">
      <c r="A351" s="35"/>
      <c r="B351" s="35"/>
      <c r="C351" s="35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</row>
    <row r="352">
      <c r="A352" s="35"/>
      <c r="B352" s="35"/>
      <c r="C352" s="35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</row>
    <row r="353">
      <c r="A353" s="35"/>
      <c r="B353" s="35"/>
      <c r="C353" s="35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</row>
    <row r="354">
      <c r="A354" s="35"/>
      <c r="B354" s="35"/>
      <c r="C354" s="35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</row>
    <row r="355">
      <c r="A355" s="35"/>
      <c r="B355" s="35"/>
      <c r="C355" s="35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</row>
    <row r="356">
      <c r="A356" s="35"/>
      <c r="B356" s="35"/>
      <c r="C356" s="35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</row>
    <row r="357">
      <c r="A357" s="35"/>
      <c r="B357" s="35"/>
      <c r="C357" s="35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</row>
    <row r="358">
      <c r="A358" s="35"/>
      <c r="B358" s="35"/>
      <c r="C358" s="35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</row>
    <row r="359">
      <c r="A359" s="35"/>
      <c r="B359" s="35"/>
      <c r="C359" s="35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</row>
    <row r="360">
      <c r="A360" s="35"/>
      <c r="B360" s="35"/>
      <c r="C360" s="35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</row>
    <row r="361">
      <c r="A361" s="35"/>
      <c r="B361" s="35"/>
      <c r="C361" s="35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</row>
    <row r="362">
      <c r="A362" s="35"/>
      <c r="B362" s="35"/>
      <c r="C362" s="35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</row>
    <row r="363">
      <c r="A363" s="35"/>
      <c r="B363" s="35"/>
      <c r="C363" s="35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</row>
    <row r="364">
      <c r="A364" s="35"/>
      <c r="B364" s="35"/>
      <c r="C364" s="35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</row>
    <row r="365">
      <c r="A365" s="35"/>
      <c r="B365" s="35"/>
      <c r="C365" s="35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</row>
    <row r="366">
      <c r="A366" s="35"/>
      <c r="B366" s="35"/>
      <c r="C366" s="35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</row>
    <row r="367">
      <c r="A367" s="35"/>
      <c r="B367" s="35"/>
      <c r="C367" s="35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</row>
    <row r="368">
      <c r="A368" s="35"/>
      <c r="B368" s="35"/>
      <c r="C368" s="35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</row>
    <row r="369">
      <c r="A369" s="35"/>
      <c r="B369" s="35"/>
      <c r="C369" s="35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</row>
    <row r="370">
      <c r="A370" s="35"/>
      <c r="B370" s="35"/>
      <c r="C370" s="35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</row>
    <row r="371">
      <c r="A371" s="35"/>
      <c r="B371" s="35"/>
      <c r="C371" s="35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</row>
    <row r="372">
      <c r="A372" s="35"/>
      <c r="B372" s="35"/>
      <c r="C372" s="35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</row>
    <row r="373">
      <c r="A373" s="35"/>
      <c r="B373" s="35"/>
      <c r="C373" s="35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</row>
    <row r="374">
      <c r="A374" s="35"/>
      <c r="B374" s="35"/>
      <c r="C374" s="35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</row>
    <row r="375">
      <c r="A375" s="35"/>
      <c r="B375" s="35"/>
      <c r="C375" s="35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</row>
    <row r="376">
      <c r="A376" s="35"/>
      <c r="B376" s="35"/>
      <c r="C376" s="35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</row>
    <row r="377">
      <c r="A377" s="35"/>
      <c r="B377" s="35"/>
      <c r="C377" s="35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</row>
    <row r="378">
      <c r="A378" s="35"/>
      <c r="B378" s="35"/>
      <c r="C378" s="35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</row>
    <row r="379">
      <c r="A379" s="35"/>
      <c r="B379" s="35"/>
      <c r="C379" s="35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</row>
    <row r="380">
      <c r="A380" s="35"/>
      <c r="B380" s="35"/>
      <c r="C380" s="35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</row>
    <row r="381">
      <c r="A381" s="35"/>
      <c r="B381" s="35"/>
      <c r="C381" s="35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</row>
    <row r="382">
      <c r="A382" s="35"/>
      <c r="B382" s="35"/>
      <c r="C382" s="35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</row>
    <row r="383">
      <c r="A383" s="35"/>
      <c r="B383" s="35"/>
      <c r="C383" s="35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</row>
    <row r="384">
      <c r="A384" s="35"/>
      <c r="B384" s="35"/>
      <c r="C384" s="35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</row>
    <row r="385">
      <c r="A385" s="35"/>
      <c r="B385" s="35"/>
      <c r="C385" s="35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</row>
    <row r="386">
      <c r="A386" s="35"/>
      <c r="B386" s="35"/>
      <c r="C386" s="35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</row>
    <row r="387">
      <c r="A387" s="35"/>
      <c r="B387" s="35"/>
      <c r="C387" s="35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</row>
    <row r="388">
      <c r="A388" s="35"/>
      <c r="B388" s="35"/>
      <c r="C388" s="35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</row>
    <row r="389">
      <c r="A389" s="35"/>
      <c r="B389" s="35"/>
      <c r="C389" s="35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</row>
    <row r="390">
      <c r="A390" s="35"/>
      <c r="B390" s="35"/>
      <c r="C390" s="35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</row>
    <row r="391">
      <c r="A391" s="35"/>
      <c r="B391" s="35"/>
      <c r="C391" s="35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</row>
    <row r="392">
      <c r="A392" s="35"/>
      <c r="B392" s="35"/>
      <c r="C392" s="35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</row>
    <row r="393">
      <c r="A393" s="35"/>
      <c r="B393" s="35"/>
      <c r="C393" s="35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</row>
    <row r="394">
      <c r="A394" s="35"/>
      <c r="B394" s="35"/>
      <c r="C394" s="35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</row>
    <row r="395">
      <c r="A395" s="35"/>
      <c r="B395" s="35"/>
      <c r="C395" s="35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</row>
    <row r="396">
      <c r="A396" s="35"/>
      <c r="B396" s="35"/>
      <c r="C396" s="35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</row>
    <row r="397">
      <c r="A397" s="35"/>
      <c r="B397" s="35"/>
      <c r="C397" s="35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</row>
    <row r="398">
      <c r="A398" s="35"/>
      <c r="B398" s="35"/>
      <c r="C398" s="35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</row>
    <row r="399">
      <c r="A399" s="35"/>
      <c r="B399" s="35"/>
      <c r="C399" s="35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</row>
    <row r="400">
      <c r="A400" s="35"/>
      <c r="B400" s="35"/>
      <c r="C400" s="35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</row>
    <row r="401">
      <c r="A401" s="35"/>
      <c r="B401" s="35"/>
      <c r="C401" s="35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</row>
    <row r="402">
      <c r="A402" s="35"/>
      <c r="B402" s="35"/>
      <c r="C402" s="35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</row>
    <row r="403">
      <c r="A403" s="35"/>
      <c r="B403" s="35"/>
      <c r="C403" s="35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</row>
    <row r="404">
      <c r="A404" s="35"/>
      <c r="B404" s="35"/>
      <c r="C404" s="35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</row>
    <row r="405">
      <c r="A405" s="35"/>
      <c r="B405" s="35"/>
      <c r="C405" s="35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</row>
    <row r="406">
      <c r="A406" s="35"/>
      <c r="B406" s="35"/>
      <c r="C406" s="35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</row>
    <row r="407">
      <c r="A407" s="35"/>
      <c r="B407" s="35"/>
      <c r="C407" s="35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</row>
    <row r="408">
      <c r="A408" s="35"/>
      <c r="B408" s="35"/>
      <c r="C408" s="35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</row>
    <row r="409">
      <c r="A409" s="35"/>
      <c r="B409" s="35"/>
      <c r="C409" s="35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</row>
    <row r="410">
      <c r="A410" s="35"/>
      <c r="B410" s="35"/>
      <c r="C410" s="35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</row>
    <row r="411">
      <c r="A411" s="35"/>
      <c r="B411" s="35"/>
      <c r="C411" s="35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</row>
    <row r="412">
      <c r="A412" s="35"/>
      <c r="B412" s="35"/>
      <c r="C412" s="35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</row>
    <row r="413">
      <c r="A413" s="35"/>
      <c r="B413" s="35"/>
      <c r="C413" s="35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</row>
    <row r="414">
      <c r="A414" s="35"/>
      <c r="B414" s="35"/>
      <c r="C414" s="35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</row>
    <row r="415">
      <c r="A415" s="35"/>
      <c r="B415" s="35"/>
      <c r="C415" s="35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</row>
    <row r="416">
      <c r="A416" s="35"/>
      <c r="B416" s="35"/>
      <c r="C416" s="35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</row>
    <row r="417">
      <c r="A417" s="35"/>
      <c r="B417" s="35"/>
      <c r="C417" s="35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</row>
    <row r="418">
      <c r="A418" s="35"/>
      <c r="B418" s="35"/>
      <c r="C418" s="35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</row>
    <row r="419">
      <c r="A419" s="35"/>
      <c r="B419" s="35"/>
      <c r="C419" s="35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</row>
    <row r="420">
      <c r="A420" s="35"/>
      <c r="B420" s="35"/>
      <c r="C420" s="35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</row>
    <row r="421">
      <c r="A421" s="35"/>
      <c r="B421" s="35"/>
      <c r="C421" s="35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</row>
    <row r="422">
      <c r="A422" s="35"/>
      <c r="B422" s="35"/>
      <c r="C422" s="35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</row>
    <row r="423">
      <c r="A423" s="35"/>
      <c r="B423" s="35"/>
      <c r="C423" s="35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</row>
    <row r="424">
      <c r="A424" s="35"/>
      <c r="B424" s="35"/>
      <c r="C424" s="35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</row>
    <row r="425">
      <c r="A425" s="35"/>
      <c r="B425" s="35"/>
      <c r="C425" s="35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</row>
    <row r="426">
      <c r="A426" s="35"/>
      <c r="B426" s="35"/>
      <c r="C426" s="35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</row>
    <row r="427">
      <c r="A427" s="35"/>
      <c r="B427" s="35"/>
      <c r="C427" s="35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</row>
    <row r="428">
      <c r="A428" s="35"/>
      <c r="B428" s="35"/>
      <c r="C428" s="35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</row>
    <row r="429">
      <c r="A429" s="35"/>
      <c r="B429" s="35"/>
      <c r="C429" s="35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</row>
    <row r="430">
      <c r="A430" s="35"/>
      <c r="B430" s="35"/>
      <c r="C430" s="35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</row>
    <row r="431">
      <c r="A431" s="35"/>
      <c r="B431" s="35"/>
      <c r="C431" s="35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</row>
    <row r="432">
      <c r="A432" s="35"/>
      <c r="B432" s="35"/>
      <c r="C432" s="35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</row>
    <row r="433">
      <c r="A433" s="35"/>
      <c r="B433" s="35"/>
      <c r="C433" s="35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</row>
    <row r="434">
      <c r="A434" s="35"/>
      <c r="B434" s="35"/>
      <c r="C434" s="35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</row>
    <row r="435">
      <c r="A435" s="35"/>
      <c r="B435" s="35"/>
      <c r="C435" s="35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</row>
    <row r="436">
      <c r="A436" s="35"/>
      <c r="B436" s="35"/>
      <c r="C436" s="35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</row>
    <row r="437">
      <c r="A437" s="35"/>
      <c r="B437" s="35"/>
      <c r="C437" s="35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</row>
    <row r="438">
      <c r="A438" s="35"/>
      <c r="B438" s="35"/>
      <c r="C438" s="35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</row>
    <row r="439">
      <c r="A439" s="35"/>
      <c r="B439" s="35"/>
      <c r="C439" s="35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</row>
    <row r="440">
      <c r="A440" s="35"/>
      <c r="B440" s="35"/>
      <c r="C440" s="35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</row>
    <row r="441">
      <c r="A441" s="35"/>
      <c r="B441" s="35"/>
      <c r="C441" s="35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</row>
    <row r="442">
      <c r="A442" s="35"/>
      <c r="B442" s="35"/>
      <c r="C442" s="35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</row>
    <row r="443">
      <c r="A443" s="35"/>
      <c r="B443" s="35"/>
      <c r="C443" s="35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</row>
    <row r="444">
      <c r="A444" s="35"/>
      <c r="B444" s="35"/>
      <c r="C444" s="35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</row>
    <row r="445">
      <c r="A445" s="35"/>
      <c r="B445" s="35"/>
      <c r="C445" s="35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</row>
    <row r="446">
      <c r="A446" s="35"/>
      <c r="B446" s="35"/>
      <c r="C446" s="35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</row>
    <row r="447">
      <c r="A447" s="35"/>
      <c r="B447" s="35"/>
      <c r="C447" s="35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</row>
    <row r="448">
      <c r="A448" s="35"/>
      <c r="B448" s="35"/>
      <c r="C448" s="35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</row>
    <row r="449">
      <c r="A449" s="35"/>
      <c r="B449" s="35"/>
      <c r="C449" s="35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</row>
    <row r="450">
      <c r="A450" s="35"/>
      <c r="B450" s="35"/>
      <c r="C450" s="35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</row>
    <row r="451">
      <c r="A451" s="35"/>
      <c r="B451" s="35"/>
      <c r="C451" s="35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</row>
    <row r="452">
      <c r="A452" s="35"/>
      <c r="B452" s="35"/>
      <c r="C452" s="35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</row>
    <row r="453">
      <c r="A453" s="35"/>
      <c r="B453" s="35"/>
      <c r="C453" s="35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</row>
    <row r="454">
      <c r="A454" s="35"/>
      <c r="B454" s="35"/>
      <c r="C454" s="35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</row>
    <row r="455">
      <c r="A455" s="35"/>
      <c r="B455" s="35"/>
      <c r="C455" s="35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</row>
    <row r="456">
      <c r="A456" s="35"/>
      <c r="B456" s="35"/>
      <c r="C456" s="35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</row>
    <row r="457">
      <c r="A457" s="35"/>
      <c r="B457" s="35"/>
      <c r="C457" s="35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</row>
    <row r="458">
      <c r="A458" s="35"/>
      <c r="B458" s="35"/>
      <c r="C458" s="35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</row>
    <row r="459">
      <c r="A459" s="35"/>
      <c r="B459" s="35"/>
      <c r="C459" s="35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</row>
    <row r="460">
      <c r="A460" s="35"/>
      <c r="B460" s="35"/>
      <c r="C460" s="35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</row>
    <row r="461">
      <c r="A461" s="35"/>
      <c r="B461" s="35"/>
      <c r="C461" s="35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</row>
    <row r="462">
      <c r="A462" s="35"/>
      <c r="B462" s="35"/>
      <c r="C462" s="35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</row>
    <row r="463">
      <c r="A463" s="35"/>
      <c r="B463" s="35"/>
      <c r="C463" s="35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</row>
    <row r="464">
      <c r="A464" s="35"/>
      <c r="B464" s="35"/>
      <c r="C464" s="35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</row>
    <row r="465">
      <c r="A465" s="35"/>
      <c r="B465" s="35"/>
      <c r="C465" s="35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</row>
    <row r="466">
      <c r="A466" s="35"/>
      <c r="B466" s="35"/>
      <c r="C466" s="35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</row>
    <row r="467">
      <c r="A467" s="35"/>
      <c r="B467" s="35"/>
      <c r="C467" s="35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</row>
    <row r="468">
      <c r="A468" s="35"/>
      <c r="B468" s="35"/>
      <c r="C468" s="35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</row>
    <row r="469">
      <c r="A469" s="35"/>
      <c r="B469" s="35"/>
      <c r="C469" s="35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</row>
    <row r="470">
      <c r="A470" s="35"/>
      <c r="B470" s="35"/>
      <c r="C470" s="35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</row>
    <row r="471">
      <c r="A471" s="35"/>
      <c r="B471" s="35"/>
      <c r="C471" s="35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</row>
    <row r="472">
      <c r="A472" s="35"/>
      <c r="B472" s="35"/>
      <c r="C472" s="35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</row>
    <row r="473">
      <c r="A473" s="35"/>
      <c r="B473" s="35"/>
      <c r="C473" s="35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</row>
    <row r="474">
      <c r="A474" s="35"/>
      <c r="B474" s="35"/>
      <c r="C474" s="35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</row>
    <row r="475">
      <c r="A475" s="35"/>
      <c r="B475" s="35"/>
      <c r="C475" s="35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</row>
    <row r="476">
      <c r="A476" s="35"/>
      <c r="B476" s="35"/>
      <c r="C476" s="35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</row>
    <row r="477">
      <c r="A477" s="35"/>
      <c r="B477" s="35"/>
      <c r="C477" s="35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</row>
    <row r="478">
      <c r="A478" s="35"/>
      <c r="B478" s="35"/>
      <c r="C478" s="35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</row>
    <row r="479">
      <c r="A479" s="35"/>
      <c r="B479" s="35"/>
      <c r="C479" s="35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</row>
    <row r="480">
      <c r="A480" s="35"/>
      <c r="B480" s="35"/>
      <c r="C480" s="35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</row>
    <row r="481">
      <c r="A481" s="35"/>
      <c r="B481" s="35"/>
      <c r="C481" s="35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</row>
    <row r="482">
      <c r="A482" s="35"/>
      <c r="B482" s="35"/>
      <c r="C482" s="35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</row>
    <row r="483">
      <c r="A483" s="35"/>
      <c r="B483" s="35"/>
      <c r="C483" s="35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</row>
    <row r="484">
      <c r="A484" s="35"/>
      <c r="B484" s="35"/>
      <c r="C484" s="35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</row>
    <row r="485">
      <c r="A485" s="35"/>
      <c r="B485" s="35"/>
      <c r="C485" s="35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</row>
    <row r="486">
      <c r="A486" s="35"/>
      <c r="B486" s="35"/>
      <c r="C486" s="35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</row>
    <row r="487">
      <c r="A487" s="35"/>
      <c r="B487" s="35"/>
      <c r="C487" s="35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</row>
    <row r="488">
      <c r="A488" s="35"/>
      <c r="B488" s="35"/>
      <c r="C488" s="35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</row>
    <row r="489">
      <c r="A489" s="35"/>
      <c r="B489" s="35"/>
      <c r="C489" s="35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</row>
    <row r="490">
      <c r="A490" s="35"/>
      <c r="B490" s="35"/>
      <c r="C490" s="35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</row>
    <row r="491">
      <c r="A491" s="35"/>
      <c r="B491" s="35"/>
      <c r="C491" s="35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</row>
    <row r="492">
      <c r="A492" s="35"/>
      <c r="B492" s="35"/>
      <c r="C492" s="35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</row>
    <row r="493">
      <c r="A493" s="35"/>
      <c r="B493" s="35"/>
      <c r="C493" s="35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</row>
    <row r="494">
      <c r="A494" s="35"/>
      <c r="B494" s="35"/>
      <c r="C494" s="35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</row>
    <row r="495">
      <c r="A495" s="35"/>
      <c r="B495" s="35"/>
      <c r="C495" s="35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</row>
    <row r="496">
      <c r="A496" s="35"/>
      <c r="B496" s="35"/>
      <c r="C496" s="35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</row>
    <row r="497">
      <c r="A497" s="35"/>
      <c r="B497" s="35"/>
      <c r="C497" s="35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</row>
    <row r="498">
      <c r="A498" s="35"/>
      <c r="B498" s="35"/>
      <c r="C498" s="35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</row>
    <row r="499">
      <c r="A499" s="35"/>
      <c r="B499" s="35"/>
      <c r="C499" s="35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</row>
    <row r="500">
      <c r="A500" s="35"/>
      <c r="B500" s="35"/>
      <c r="C500" s="35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</row>
    <row r="501">
      <c r="A501" s="35"/>
      <c r="B501" s="35"/>
      <c r="C501" s="35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</row>
    <row r="502">
      <c r="A502" s="35"/>
      <c r="B502" s="35"/>
      <c r="C502" s="35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</row>
    <row r="503">
      <c r="A503" s="35"/>
      <c r="B503" s="35"/>
      <c r="C503" s="35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</row>
    <row r="504">
      <c r="A504" s="35"/>
      <c r="B504" s="35"/>
      <c r="C504" s="35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</row>
    <row r="505">
      <c r="A505" s="35"/>
      <c r="B505" s="35"/>
      <c r="C505" s="35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</row>
    <row r="506">
      <c r="A506" s="35"/>
      <c r="B506" s="35"/>
      <c r="C506" s="35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</row>
    <row r="507">
      <c r="A507" s="35"/>
      <c r="B507" s="35"/>
      <c r="C507" s="35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</row>
    <row r="508">
      <c r="A508" s="35"/>
      <c r="B508" s="35"/>
      <c r="C508" s="35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</row>
    <row r="509">
      <c r="A509" s="35"/>
      <c r="B509" s="35"/>
      <c r="C509" s="35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</row>
    <row r="510">
      <c r="A510" s="35"/>
      <c r="B510" s="35"/>
      <c r="C510" s="35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</row>
    <row r="511">
      <c r="A511" s="35"/>
      <c r="B511" s="35"/>
      <c r="C511" s="35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</row>
    <row r="512">
      <c r="A512" s="35"/>
      <c r="B512" s="35"/>
      <c r="C512" s="35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</row>
    <row r="513">
      <c r="A513" s="35"/>
      <c r="B513" s="35"/>
      <c r="C513" s="35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</row>
    <row r="514">
      <c r="A514" s="35"/>
      <c r="B514" s="35"/>
      <c r="C514" s="35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</row>
    <row r="515">
      <c r="A515" s="35"/>
      <c r="B515" s="35"/>
      <c r="C515" s="35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</row>
    <row r="516">
      <c r="A516" s="35"/>
      <c r="B516" s="35"/>
      <c r="C516" s="35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</row>
    <row r="517">
      <c r="A517" s="35"/>
      <c r="B517" s="35"/>
      <c r="C517" s="35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</row>
    <row r="518">
      <c r="A518" s="35"/>
      <c r="B518" s="35"/>
      <c r="C518" s="35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</row>
    <row r="519">
      <c r="A519" s="35"/>
      <c r="B519" s="35"/>
      <c r="C519" s="35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</row>
    <row r="520">
      <c r="A520" s="35"/>
      <c r="B520" s="35"/>
      <c r="C520" s="35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</row>
    <row r="521">
      <c r="A521" s="35"/>
      <c r="B521" s="35"/>
      <c r="C521" s="35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</row>
    <row r="522">
      <c r="A522" s="35"/>
      <c r="B522" s="35"/>
      <c r="C522" s="35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</row>
    <row r="523">
      <c r="A523" s="35"/>
      <c r="B523" s="35"/>
      <c r="C523" s="35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</row>
    <row r="524">
      <c r="A524" s="35"/>
      <c r="B524" s="35"/>
      <c r="C524" s="35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</row>
    <row r="525">
      <c r="A525" s="35"/>
      <c r="B525" s="35"/>
      <c r="C525" s="35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</row>
    <row r="526">
      <c r="A526" s="35"/>
      <c r="B526" s="35"/>
      <c r="C526" s="35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</row>
    <row r="527">
      <c r="A527" s="35"/>
      <c r="B527" s="35"/>
      <c r="C527" s="35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</row>
    <row r="528">
      <c r="A528" s="35"/>
      <c r="B528" s="35"/>
      <c r="C528" s="35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</row>
    <row r="529">
      <c r="A529" s="35"/>
      <c r="B529" s="35"/>
      <c r="C529" s="35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</row>
    <row r="530">
      <c r="A530" s="35"/>
      <c r="B530" s="35"/>
      <c r="C530" s="35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</row>
    <row r="531">
      <c r="A531" s="35"/>
      <c r="B531" s="35"/>
      <c r="C531" s="35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</row>
    <row r="532">
      <c r="A532" s="35"/>
      <c r="B532" s="35"/>
      <c r="C532" s="35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</row>
    <row r="533">
      <c r="A533" s="35"/>
      <c r="B533" s="35"/>
      <c r="C533" s="35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</row>
    <row r="534">
      <c r="A534" s="35"/>
      <c r="B534" s="35"/>
      <c r="C534" s="35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</row>
    <row r="535">
      <c r="A535" s="35"/>
      <c r="B535" s="35"/>
      <c r="C535" s="35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</row>
    <row r="536">
      <c r="A536" s="35"/>
      <c r="B536" s="35"/>
      <c r="C536" s="35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</row>
    <row r="537">
      <c r="A537" s="35"/>
      <c r="B537" s="35"/>
      <c r="C537" s="35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</row>
    <row r="538">
      <c r="A538" s="35"/>
      <c r="B538" s="35"/>
      <c r="C538" s="35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</row>
    <row r="539">
      <c r="A539" s="35"/>
      <c r="B539" s="35"/>
      <c r="C539" s="35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</row>
    <row r="540">
      <c r="A540" s="35"/>
      <c r="B540" s="35"/>
      <c r="C540" s="35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</row>
    <row r="541">
      <c r="A541" s="35"/>
      <c r="B541" s="35"/>
      <c r="C541" s="35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</row>
    <row r="542">
      <c r="A542" s="35"/>
      <c r="B542" s="35"/>
      <c r="C542" s="35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</row>
    <row r="543">
      <c r="A543" s="35"/>
      <c r="B543" s="35"/>
      <c r="C543" s="35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</row>
    <row r="544">
      <c r="A544" s="35"/>
      <c r="B544" s="35"/>
      <c r="C544" s="35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</row>
    <row r="545">
      <c r="A545" s="35"/>
      <c r="B545" s="35"/>
      <c r="C545" s="35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</row>
    <row r="546">
      <c r="A546" s="35"/>
      <c r="B546" s="35"/>
      <c r="C546" s="35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</row>
    <row r="547">
      <c r="A547" s="35"/>
      <c r="B547" s="35"/>
      <c r="C547" s="35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</row>
    <row r="548">
      <c r="A548" s="35"/>
      <c r="B548" s="35"/>
      <c r="C548" s="35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</row>
    <row r="549">
      <c r="A549" s="35"/>
      <c r="B549" s="35"/>
      <c r="C549" s="35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</row>
    <row r="550">
      <c r="A550" s="35"/>
      <c r="B550" s="35"/>
      <c r="C550" s="35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</row>
    <row r="551">
      <c r="A551" s="35"/>
      <c r="B551" s="35"/>
      <c r="C551" s="35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</row>
    <row r="552">
      <c r="A552" s="35"/>
      <c r="B552" s="35"/>
      <c r="C552" s="35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</row>
    <row r="553">
      <c r="A553" s="35"/>
      <c r="B553" s="35"/>
      <c r="C553" s="35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</row>
    <row r="554">
      <c r="A554" s="35"/>
      <c r="B554" s="35"/>
      <c r="C554" s="35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</row>
    <row r="555">
      <c r="A555" s="35"/>
      <c r="B555" s="35"/>
      <c r="C555" s="35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</row>
    <row r="556">
      <c r="A556" s="35"/>
      <c r="B556" s="35"/>
      <c r="C556" s="35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</row>
    <row r="557">
      <c r="A557" s="35"/>
      <c r="B557" s="35"/>
      <c r="C557" s="35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</row>
    <row r="558">
      <c r="A558" s="35"/>
      <c r="B558" s="35"/>
      <c r="C558" s="35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</row>
    <row r="559">
      <c r="A559" s="35"/>
      <c r="B559" s="35"/>
      <c r="C559" s="35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</row>
    <row r="560">
      <c r="A560" s="35"/>
      <c r="B560" s="35"/>
      <c r="C560" s="35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</row>
    <row r="561">
      <c r="A561" s="35"/>
      <c r="B561" s="35"/>
      <c r="C561" s="35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</row>
    <row r="562">
      <c r="A562" s="35"/>
      <c r="B562" s="35"/>
      <c r="C562" s="35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</row>
    <row r="563">
      <c r="A563" s="35"/>
      <c r="B563" s="35"/>
      <c r="C563" s="35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</row>
    <row r="564">
      <c r="A564" s="35"/>
      <c r="B564" s="35"/>
      <c r="C564" s="35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</row>
    <row r="565">
      <c r="A565" s="35"/>
      <c r="B565" s="35"/>
      <c r="C565" s="35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</row>
    <row r="566">
      <c r="A566" s="35"/>
      <c r="B566" s="35"/>
      <c r="C566" s="35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</row>
    <row r="567">
      <c r="A567" s="35"/>
      <c r="B567" s="35"/>
      <c r="C567" s="35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</row>
    <row r="568">
      <c r="A568" s="35"/>
      <c r="B568" s="35"/>
      <c r="C568" s="35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</row>
    <row r="569">
      <c r="A569" s="35"/>
      <c r="B569" s="35"/>
      <c r="C569" s="35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</row>
    <row r="570">
      <c r="A570" s="35"/>
      <c r="B570" s="35"/>
      <c r="C570" s="35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</row>
    <row r="571">
      <c r="A571" s="35"/>
      <c r="B571" s="35"/>
      <c r="C571" s="35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</row>
    <row r="572">
      <c r="A572" s="35"/>
      <c r="B572" s="35"/>
      <c r="C572" s="35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</row>
    <row r="573">
      <c r="A573" s="35"/>
      <c r="B573" s="35"/>
      <c r="C573" s="35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</row>
    <row r="574">
      <c r="A574" s="35"/>
      <c r="B574" s="35"/>
      <c r="C574" s="35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</row>
    <row r="575">
      <c r="A575" s="35"/>
      <c r="B575" s="35"/>
      <c r="C575" s="35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</row>
    <row r="576">
      <c r="A576" s="35"/>
      <c r="B576" s="35"/>
      <c r="C576" s="35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</row>
    <row r="577">
      <c r="A577" s="35"/>
      <c r="B577" s="35"/>
      <c r="C577" s="35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</row>
    <row r="578">
      <c r="A578" s="35"/>
      <c r="B578" s="35"/>
      <c r="C578" s="35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</row>
    <row r="579">
      <c r="A579" s="35"/>
      <c r="B579" s="35"/>
      <c r="C579" s="35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</row>
    <row r="580">
      <c r="A580" s="35"/>
      <c r="B580" s="35"/>
      <c r="C580" s="35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</row>
    <row r="581">
      <c r="A581" s="35"/>
      <c r="B581" s="35"/>
      <c r="C581" s="35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</row>
    <row r="582">
      <c r="A582" s="35"/>
      <c r="B582" s="35"/>
      <c r="C582" s="35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</row>
    <row r="583">
      <c r="A583" s="35"/>
      <c r="B583" s="35"/>
      <c r="C583" s="35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</row>
    <row r="584">
      <c r="A584" s="35"/>
      <c r="B584" s="35"/>
      <c r="C584" s="35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</row>
    <row r="585">
      <c r="A585" s="35"/>
      <c r="B585" s="35"/>
      <c r="C585" s="35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</row>
    <row r="586">
      <c r="A586" s="35"/>
      <c r="B586" s="35"/>
      <c r="C586" s="35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</row>
    <row r="587">
      <c r="A587" s="35"/>
      <c r="B587" s="35"/>
      <c r="C587" s="35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</row>
    <row r="588">
      <c r="A588" s="35"/>
      <c r="B588" s="35"/>
      <c r="C588" s="35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</row>
    <row r="589">
      <c r="A589" s="35"/>
      <c r="B589" s="35"/>
      <c r="C589" s="35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</row>
    <row r="590">
      <c r="A590" s="35"/>
      <c r="B590" s="35"/>
      <c r="C590" s="35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</row>
    <row r="591">
      <c r="A591" s="35"/>
      <c r="B591" s="35"/>
      <c r="C591" s="35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</row>
    <row r="592">
      <c r="A592" s="35"/>
      <c r="B592" s="35"/>
      <c r="C592" s="35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</row>
    <row r="593">
      <c r="A593" s="35"/>
      <c r="B593" s="35"/>
      <c r="C593" s="35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</row>
    <row r="594">
      <c r="A594" s="35"/>
      <c r="B594" s="35"/>
      <c r="C594" s="35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</row>
    <row r="595">
      <c r="A595" s="35"/>
      <c r="B595" s="35"/>
      <c r="C595" s="35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</row>
    <row r="596">
      <c r="A596" s="35"/>
      <c r="B596" s="35"/>
      <c r="C596" s="35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</row>
    <row r="597">
      <c r="A597" s="35"/>
      <c r="B597" s="35"/>
      <c r="C597" s="35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</row>
    <row r="598">
      <c r="A598" s="35"/>
      <c r="B598" s="35"/>
      <c r="C598" s="35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</row>
    <row r="599">
      <c r="A599" s="35"/>
      <c r="B599" s="35"/>
      <c r="C599" s="35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</row>
    <row r="600">
      <c r="A600" s="35"/>
      <c r="B600" s="35"/>
      <c r="C600" s="35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</row>
    <row r="601">
      <c r="A601" s="35"/>
      <c r="B601" s="35"/>
      <c r="C601" s="35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</row>
    <row r="602">
      <c r="A602" s="35"/>
      <c r="B602" s="35"/>
      <c r="C602" s="35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</row>
    <row r="603">
      <c r="A603" s="35"/>
      <c r="B603" s="35"/>
      <c r="C603" s="35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</row>
    <row r="604">
      <c r="A604" s="35"/>
      <c r="B604" s="35"/>
      <c r="C604" s="35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</row>
    <row r="605">
      <c r="A605" s="35"/>
      <c r="B605" s="35"/>
      <c r="C605" s="35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</row>
    <row r="606">
      <c r="A606" s="35"/>
      <c r="B606" s="35"/>
      <c r="C606" s="35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</row>
    <row r="607">
      <c r="A607" s="35"/>
      <c r="B607" s="35"/>
      <c r="C607" s="35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</row>
    <row r="608">
      <c r="A608" s="35"/>
      <c r="B608" s="35"/>
      <c r="C608" s="35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</row>
    <row r="609">
      <c r="A609" s="35"/>
      <c r="B609" s="35"/>
      <c r="C609" s="35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</row>
    <row r="610">
      <c r="A610" s="35"/>
      <c r="B610" s="35"/>
      <c r="C610" s="35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</row>
    <row r="611">
      <c r="A611" s="35"/>
      <c r="B611" s="35"/>
      <c r="C611" s="35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</row>
    <row r="612">
      <c r="A612" s="35"/>
      <c r="B612" s="35"/>
      <c r="C612" s="35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</row>
    <row r="613">
      <c r="A613" s="35"/>
      <c r="B613" s="35"/>
      <c r="C613" s="35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</row>
    <row r="614">
      <c r="A614" s="35"/>
      <c r="B614" s="35"/>
      <c r="C614" s="35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</row>
    <row r="615">
      <c r="A615" s="35"/>
      <c r="B615" s="35"/>
      <c r="C615" s="35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</row>
    <row r="616">
      <c r="A616" s="35"/>
      <c r="B616" s="35"/>
      <c r="C616" s="35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</row>
    <row r="617">
      <c r="A617" s="35"/>
      <c r="B617" s="35"/>
      <c r="C617" s="35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</row>
    <row r="618">
      <c r="A618" s="35"/>
      <c r="B618" s="35"/>
      <c r="C618" s="35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</row>
    <row r="619">
      <c r="A619" s="35"/>
      <c r="B619" s="35"/>
      <c r="C619" s="35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</row>
    <row r="620">
      <c r="A620" s="35"/>
      <c r="B620" s="35"/>
      <c r="C620" s="35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</row>
    <row r="621">
      <c r="A621" s="35"/>
      <c r="B621" s="35"/>
      <c r="C621" s="35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</row>
    <row r="622">
      <c r="A622" s="35"/>
      <c r="B622" s="35"/>
      <c r="C622" s="35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</row>
    <row r="623">
      <c r="A623" s="35"/>
      <c r="B623" s="35"/>
      <c r="C623" s="35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</row>
    <row r="624">
      <c r="A624" s="35"/>
      <c r="B624" s="35"/>
      <c r="C624" s="35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</row>
    <row r="625">
      <c r="A625" s="35"/>
      <c r="B625" s="35"/>
      <c r="C625" s="35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</row>
    <row r="626">
      <c r="A626" s="35"/>
      <c r="B626" s="35"/>
      <c r="C626" s="35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</row>
    <row r="627">
      <c r="A627" s="35"/>
      <c r="B627" s="35"/>
      <c r="C627" s="35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</row>
    <row r="628">
      <c r="A628" s="35"/>
      <c r="B628" s="35"/>
      <c r="C628" s="35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</row>
    <row r="629">
      <c r="A629" s="35"/>
      <c r="B629" s="35"/>
      <c r="C629" s="35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</row>
    <row r="630">
      <c r="A630" s="35"/>
      <c r="B630" s="35"/>
      <c r="C630" s="35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</row>
    <row r="631">
      <c r="A631" s="35"/>
      <c r="B631" s="35"/>
      <c r="C631" s="35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</row>
    <row r="632">
      <c r="A632" s="35"/>
      <c r="B632" s="35"/>
      <c r="C632" s="35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</row>
    <row r="633">
      <c r="A633" s="35"/>
      <c r="B633" s="35"/>
      <c r="C633" s="35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</row>
    <row r="634">
      <c r="A634" s="35"/>
      <c r="B634" s="35"/>
      <c r="C634" s="35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</row>
    <row r="635">
      <c r="A635" s="35"/>
      <c r="B635" s="35"/>
      <c r="C635" s="35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</row>
    <row r="636">
      <c r="A636" s="35"/>
      <c r="B636" s="35"/>
      <c r="C636" s="35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</row>
    <row r="637">
      <c r="A637" s="35"/>
      <c r="B637" s="35"/>
      <c r="C637" s="35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</row>
    <row r="638">
      <c r="A638" s="35"/>
      <c r="B638" s="35"/>
      <c r="C638" s="35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</row>
    <row r="639">
      <c r="A639" s="35"/>
      <c r="B639" s="35"/>
      <c r="C639" s="35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</row>
    <row r="640">
      <c r="A640" s="35"/>
      <c r="B640" s="35"/>
      <c r="C640" s="35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</row>
    <row r="641">
      <c r="A641" s="35"/>
      <c r="B641" s="35"/>
      <c r="C641" s="35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</row>
    <row r="642">
      <c r="A642" s="35"/>
      <c r="B642" s="35"/>
      <c r="C642" s="35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</row>
    <row r="643">
      <c r="A643" s="35"/>
      <c r="B643" s="35"/>
      <c r="C643" s="35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</row>
    <row r="644">
      <c r="A644" s="35"/>
      <c r="B644" s="35"/>
      <c r="C644" s="35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</row>
    <row r="645">
      <c r="A645" s="35"/>
      <c r="B645" s="35"/>
      <c r="C645" s="35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</row>
    <row r="646">
      <c r="A646" s="35"/>
      <c r="B646" s="35"/>
      <c r="C646" s="35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</row>
    <row r="647">
      <c r="A647" s="35"/>
      <c r="B647" s="35"/>
      <c r="C647" s="35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</row>
    <row r="648">
      <c r="A648" s="35"/>
      <c r="B648" s="35"/>
      <c r="C648" s="35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</row>
    <row r="649">
      <c r="A649" s="35"/>
      <c r="B649" s="35"/>
      <c r="C649" s="35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</row>
    <row r="650">
      <c r="A650" s="35"/>
      <c r="B650" s="35"/>
      <c r="C650" s="35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</row>
    <row r="651">
      <c r="A651" s="35"/>
      <c r="B651" s="35"/>
      <c r="C651" s="35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</row>
    <row r="652">
      <c r="A652" s="35"/>
      <c r="B652" s="35"/>
      <c r="C652" s="35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</row>
    <row r="653">
      <c r="A653" s="35"/>
      <c r="B653" s="35"/>
      <c r="C653" s="35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</row>
    <row r="654">
      <c r="A654" s="35"/>
      <c r="B654" s="35"/>
      <c r="C654" s="35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</row>
    <row r="655">
      <c r="A655" s="35"/>
      <c r="B655" s="35"/>
      <c r="C655" s="35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</row>
    <row r="656">
      <c r="A656" s="35"/>
      <c r="B656" s="35"/>
      <c r="C656" s="35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</row>
    <row r="657">
      <c r="A657" s="35"/>
      <c r="B657" s="35"/>
      <c r="C657" s="35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</row>
    <row r="658">
      <c r="A658" s="35"/>
      <c r="B658" s="35"/>
      <c r="C658" s="35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</row>
    <row r="659">
      <c r="A659" s="35"/>
      <c r="B659" s="35"/>
      <c r="C659" s="35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</row>
    <row r="660">
      <c r="A660" s="35"/>
      <c r="B660" s="35"/>
      <c r="C660" s="35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</row>
    <row r="661">
      <c r="A661" s="35"/>
      <c r="B661" s="35"/>
      <c r="C661" s="35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</row>
    <row r="662">
      <c r="A662" s="35"/>
      <c r="B662" s="35"/>
      <c r="C662" s="35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</row>
    <row r="663">
      <c r="A663" s="35"/>
      <c r="B663" s="35"/>
      <c r="C663" s="35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</row>
    <row r="664">
      <c r="A664" s="35"/>
      <c r="B664" s="35"/>
      <c r="C664" s="35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</row>
    <row r="665">
      <c r="A665" s="35"/>
      <c r="B665" s="35"/>
      <c r="C665" s="35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</row>
    <row r="666">
      <c r="A666" s="35"/>
      <c r="B666" s="35"/>
      <c r="C666" s="35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</row>
    <row r="667">
      <c r="A667" s="35"/>
      <c r="B667" s="35"/>
      <c r="C667" s="35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</row>
    <row r="668">
      <c r="A668" s="35"/>
      <c r="B668" s="35"/>
      <c r="C668" s="35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</row>
    <row r="669">
      <c r="A669" s="35"/>
      <c r="B669" s="35"/>
      <c r="C669" s="35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</row>
    <row r="670">
      <c r="A670" s="35"/>
      <c r="B670" s="35"/>
      <c r="C670" s="35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</row>
    <row r="671">
      <c r="A671" s="35"/>
      <c r="B671" s="35"/>
      <c r="C671" s="35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</row>
    <row r="672">
      <c r="A672" s="35"/>
      <c r="B672" s="35"/>
      <c r="C672" s="35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</row>
    <row r="673">
      <c r="A673" s="35"/>
      <c r="B673" s="35"/>
      <c r="C673" s="35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</row>
    <row r="674">
      <c r="A674" s="35"/>
      <c r="B674" s="35"/>
      <c r="C674" s="35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</row>
    <row r="675">
      <c r="A675" s="35"/>
      <c r="B675" s="35"/>
      <c r="C675" s="35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</row>
    <row r="676">
      <c r="A676" s="35"/>
      <c r="B676" s="35"/>
      <c r="C676" s="35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</row>
    <row r="677">
      <c r="A677" s="35"/>
      <c r="B677" s="35"/>
      <c r="C677" s="35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</row>
    <row r="678">
      <c r="A678" s="35"/>
      <c r="B678" s="35"/>
      <c r="C678" s="35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</row>
    <row r="679">
      <c r="A679" s="35"/>
      <c r="B679" s="35"/>
      <c r="C679" s="35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</row>
    <row r="680">
      <c r="A680" s="35"/>
      <c r="B680" s="35"/>
      <c r="C680" s="35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</row>
    <row r="681">
      <c r="A681" s="35"/>
      <c r="B681" s="35"/>
      <c r="C681" s="35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</row>
    <row r="682">
      <c r="A682" s="35"/>
      <c r="B682" s="35"/>
      <c r="C682" s="35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</row>
    <row r="683">
      <c r="A683" s="35"/>
      <c r="B683" s="35"/>
      <c r="C683" s="35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</row>
    <row r="684">
      <c r="A684" s="35"/>
      <c r="B684" s="35"/>
      <c r="C684" s="35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</row>
    <row r="685">
      <c r="A685" s="35"/>
      <c r="B685" s="35"/>
      <c r="C685" s="35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</row>
    <row r="686">
      <c r="A686" s="35"/>
      <c r="B686" s="35"/>
      <c r="C686" s="35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</row>
    <row r="687">
      <c r="A687" s="35"/>
      <c r="B687" s="35"/>
      <c r="C687" s="35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</row>
    <row r="688">
      <c r="A688" s="35"/>
      <c r="B688" s="35"/>
      <c r="C688" s="35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</row>
    <row r="689">
      <c r="A689" s="35"/>
      <c r="B689" s="35"/>
      <c r="C689" s="35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</row>
    <row r="690">
      <c r="A690" s="35"/>
      <c r="B690" s="35"/>
      <c r="C690" s="35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</row>
    <row r="691">
      <c r="A691" s="35"/>
      <c r="B691" s="35"/>
      <c r="C691" s="35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</row>
    <row r="692">
      <c r="A692" s="35"/>
      <c r="B692" s="35"/>
      <c r="C692" s="35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</row>
    <row r="693">
      <c r="A693" s="35"/>
      <c r="B693" s="35"/>
      <c r="C693" s="35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</row>
    <row r="694">
      <c r="A694" s="35"/>
      <c r="B694" s="35"/>
      <c r="C694" s="35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</row>
    <row r="695">
      <c r="A695" s="35"/>
      <c r="B695" s="35"/>
      <c r="C695" s="35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</row>
    <row r="696">
      <c r="A696" s="35"/>
      <c r="B696" s="35"/>
      <c r="C696" s="35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</row>
    <row r="697">
      <c r="A697" s="35"/>
      <c r="B697" s="35"/>
      <c r="C697" s="35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</row>
    <row r="698">
      <c r="A698" s="35"/>
      <c r="B698" s="35"/>
      <c r="C698" s="35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</row>
    <row r="699">
      <c r="A699" s="35"/>
      <c r="B699" s="35"/>
      <c r="C699" s="35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</row>
    <row r="700">
      <c r="A700" s="35"/>
      <c r="B700" s="35"/>
      <c r="C700" s="35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</row>
    <row r="701">
      <c r="A701" s="35"/>
      <c r="B701" s="35"/>
      <c r="C701" s="35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</row>
    <row r="702">
      <c r="A702" s="35"/>
      <c r="B702" s="35"/>
      <c r="C702" s="35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</row>
    <row r="703">
      <c r="A703" s="35"/>
      <c r="B703" s="35"/>
      <c r="C703" s="35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</row>
    <row r="704">
      <c r="A704" s="35"/>
      <c r="B704" s="35"/>
      <c r="C704" s="35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</row>
    <row r="705">
      <c r="A705" s="35"/>
      <c r="B705" s="35"/>
      <c r="C705" s="35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</row>
    <row r="706">
      <c r="A706" s="35"/>
      <c r="B706" s="35"/>
      <c r="C706" s="35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</row>
    <row r="707">
      <c r="A707" s="35"/>
      <c r="B707" s="35"/>
      <c r="C707" s="35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</row>
    <row r="708">
      <c r="A708" s="35"/>
      <c r="B708" s="35"/>
      <c r="C708" s="35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</row>
    <row r="709">
      <c r="A709" s="35"/>
      <c r="B709" s="35"/>
      <c r="C709" s="35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</row>
    <row r="710">
      <c r="A710" s="35"/>
      <c r="B710" s="35"/>
      <c r="C710" s="35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</row>
    <row r="711">
      <c r="A711" s="35"/>
      <c r="B711" s="35"/>
      <c r="C711" s="35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</row>
    <row r="712">
      <c r="A712" s="35"/>
      <c r="B712" s="35"/>
      <c r="C712" s="35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</row>
    <row r="713">
      <c r="A713" s="35"/>
      <c r="B713" s="35"/>
      <c r="C713" s="35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</row>
    <row r="714">
      <c r="A714" s="35"/>
      <c r="B714" s="35"/>
      <c r="C714" s="35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</row>
    <row r="715">
      <c r="A715" s="35"/>
      <c r="B715" s="35"/>
      <c r="C715" s="35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</row>
    <row r="716">
      <c r="A716" s="35"/>
      <c r="B716" s="35"/>
      <c r="C716" s="35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</row>
    <row r="717">
      <c r="A717" s="35"/>
      <c r="B717" s="35"/>
      <c r="C717" s="35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</row>
    <row r="718">
      <c r="A718" s="35"/>
      <c r="B718" s="35"/>
      <c r="C718" s="35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</row>
    <row r="719">
      <c r="A719" s="35"/>
      <c r="B719" s="35"/>
      <c r="C719" s="35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</row>
    <row r="720">
      <c r="A720" s="35"/>
      <c r="B720" s="35"/>
      <c r="C720" s="35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</row>
    <row r="721">
      <c r="A721" s="35"/>
      <c r="B721" s="35"/>
      <c r="C721" s="35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</row>
    <row r="722">
      <c r="A722" s="35"/>
      <c r="B722" s="35"/>
      <c r="C722" s="35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</row>
    <row r="723">
      <c r="A723" s="35"/>
      <c r="B723" s="35"/>
      <c r="C723" s="35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</row>
    <row r="724">
      <c r="A724" s="35"/>
      <c r="B724" s="35"/>
      <c r="C724" s="35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</row>
    <row r="725">
      <c r="A725" s="35"/>
      <c r="B725" s="35"/>
      <c r="C725" s="35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</row>
    <row r="726">
      <c r="A726" s="35"/>
      <c r="B726" s="35"/>
      <c r="C726" s="35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</row>
    <row r="727">
      <c r="A727" s="35"/>
      <c r="B727" s="35"/>
      <c r="C727" s="35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</row>
    <row r="728">
      <c r="A728" s="35"/>
      <c r="B728" s="35"/>
      <c r="C728" s="35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</row>
    <row r="729">
      <c r="A729" s="35"/>
      <c r="B729" s="35"/>
      <c r="C729" s="35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</row>
    <row r="730">
      <c r="A730" s="35"/>
      <c r="B730" s="35"/>
      <c r="C730" s="35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</row>
    <row r="731">
      <c r="A731" s="35"/>
      <c r="B731" s="35"/>
      <c r="C731" s="35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</row>
    <row r="732">
      <c r="A732" s="35"/>
      <c r="B732" s="35"/>
      <c r="C732" s="35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</row>
    <row r="733">
      <c r="A733" s="35"/>
      <c r="B733" s="35"/>
      <c r="C733" s="35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</row>
    <row r="734">
      <c r="A734" s="35"/>
      <c r="B734" s="35"/>
      <c r="C734" s="35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</row>
    <row r="735">
      <c r="A735" s="35"/>
      <c r="B735" s="35"/>
      <c r="C735" s="35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</row>
    <row r="736">
      <c r="A736" s="35"/>
      <c r="B736" s="35"/>
      <c r="C736" s="35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</row>
    <row r="737">
      <c r="A737" s="35"/>
      <c r="B737" s="35"/>
      <c r="C737" s="35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</row>
    <row r="738">
      <c r="A738" s="35"/>
      <c r="B738" s="35"/>
      <c r="C738" s="35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</row>
    <row r="739">
      <c r="A739" s="35"/>
      <c r="B739" s="35"/>
      <c r="C739" s="35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</row>
    <row r="740">
      <c r="A740" s="35"/>
      <c r="B740" s="35"/>
      <c r="C740" s="35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</row>
    <row r="741">
      <c r="A741" s="35"/>
      <c r="B741" s="35"/>
      <c r="C741" s="35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</row>
    <row r="742">
      <c r="A742" s="35"/>
      <c r="B742" s="35"/>
      <c r="C742" s="35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</row>
    <row r="743">
      <c r="A743" s="35"/>
      <c r="B743" s="35"/>
      <c r="C743" s="35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</row>
    <row r="744">
      <c r="A744" s="35"/>
      <c r="B744" s="35"/>
      <c r="C744" s="35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</row>
    <row r="745">
      <c r="A745" s="35"/>
      <c r="B745" s="35"/>
      <c r="C745" s="35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</row>
    <row r="746">
      <c r="A746" s="35"/>
      <c r="B746" s="35"/>
      <c r="C746" s="35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</row>
    <row r="747">
      <c r="A747" s="35"/>
      <c r="B747" s="35"/>
      <c r="C747" s="35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</row>
    <row r="748">
      <c r="A748" s="35"/>
      <c r="B748" s="35"/>
      <c r="C748" s="35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</row>
    <row r="749">
      <c r="A749" s="35"/>
      <c r="B749" s="35"/>
      <c r="C749" s="35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</row>
    <row r="750">
      <c r="A750" s="35"/>
      <c r="B750" s="35"/>
      <c r="C750" s="35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</row>
    <row r="751">
      <c r="A751" s="35"/>
      <c r="B751" s="35"/>
      <c r="C751" s="35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</row>
    <row r="752">
      <c r="A752" s="35"/>
      <c r="B752" s="35"/>
      <c r="C752" s="35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</row>
    <row r="753">
      <c r="A753" s="35"/>
      <c r="B753" s="35"/>
      <c r="C753" s="35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</row>
    <row r="754">
      <c r="A754" s="35"/>
      <c r="B754" s="35"/>
      <c r="C754" s="35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</row>
    <row r="755">
      <c r="A755" s="35"/>
      <c r="B755" s="35"/>
      <c r="C755" s="35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</row>
    <row r="756">
      <c r="A756" s="35"/>
      <c r="B756" s="35"/>
      <c r="C756" s="35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</row>
    <row r="757">
      <c r="A757" s="35"/>
      <c r="B757" s="35"/>
      <c r="C757" s="35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</row>
    <row r="758">
      <c r="A758" s="35"/>
      <c r="B758" s="35"/>
      <c r="C758" s="35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</row>
    <row r="759">
      <c r="A759" s="35"/>
      <c r="B759" s="35"/>
      <c r="C759" s="35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</row>
    <row r="760">
      <c r="A760" s="35"/>
      <c r="B760" s="35"/>
      <c r="C760" s="35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</row>
    <row r="761">
      <c r="A761" s="35"/>
      <c r="B761" s="35"/>
      <c r="C761" s="35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</row>
    <row r="762">
      <c r="A762" s="35"/>
      <c r="B762" s="35"/>
      <c r="C762" s="35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</row>
    <row r="763">
      <c r="A763" s="35"/>
      <c r="B763" s="35"/>
      <c r="C763" s="35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</row>
    <row r="764">
      <c r="A764" s="35"/>
      <c r="B764" s="35"/>
      <c r="C764" s="35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</row>
    <row r="765">
      <c r="A765" s="35"/>
      <c r="B765" s="35"/>
      <c r="C765" s="35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</row>
    <row r="766">
      <c r="A766" s="35"/>
      <c r="B766" s="35"/>
      <c r="C766" s="35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</row>
    <row r="767">
      <c r="A767" s="35"/>
      <c r="B767" s="35"/>
      <c r="C767" s="35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</row>
    <row r="768">
      <c r="A768" s="35"/>
      <c r="B768" s="35"/>
      <c r="C768" s="35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</row>
    <row r="769">
      <c r="A769" s="35"/>
      <c r="B769" s="35"/>
      <c r="C769" s="35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</row>
    <row r="770">
      <c r="A770" s="35"/>
      <c r="B770" s="35"/>
      <c r="C770" s="35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</row>
    <row r="771">
      <c r="A771" s="35"/>
      <c r="B771" s="35"/>
      <c r="C771" s="35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</row>
    <row r="772">
      <c r="A772" s="35"/>
      <c r="B772" s="35"/>
      <c r="C772" s="35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</row>
    <row r="773">
      <c r="A773" s="35"/>
      <c r="B773" s="35"/>
      <c r="C773" s="35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</row>
    <row r="774">
      <c r="A774" s="35"/>
      <c r="B774" s="35"/>
      <c r="C774" s="35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</row>
    <row r="775">
      <c r="A775" s="35"/>
      <c r="B775" s="35"/>
      <c r="C775" s="35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</row>
    <row r="776">
      <c r="A776" s="35"/>
      <c r="B776" s="35"/>
      <c r="C776" s="35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</row>
    <row r="777">
      <c r="A777" s="35"/>
      <c r="B777" s="35"/>
      <c r="C777" s="35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</row>
    <row r="778">
      <c r="A778" s="35"/>
      <c r="B778" s="35"/>
      <c r="C778" s="35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</row>
    <row r="779">
      <c r="A779" s="35"/>
      <c r="B779" s="35"/>
      <c r="C779" s="35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</row>
    <row r="780">
      <c r="A780" s="35"/>
      <c r="B780" s="35"/>
      <c r="C780" s="35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</row>
    <row r="781">
      <c r="A781" s="35"/>
      <c r="B781" s="35"/>
      <c r="C781" s="35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</row>
    <row r="782">
      <c r="A782" s="35"/>
      <c r="B782" s="35"/>
      <c r="C782" s="35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</row>
    <row r="783">
      <c r="A783" s="35"/>
      <c r="B783" s="35"/>
      <c r="C783" s="35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</row>
    <row r="784">
      <c r="A784" s="35"/>
      <c r="B784" s="35"/>
      <c r="C784" s="35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</row>
    <row r="785">
      <c r="A785" s="35"/>
      <c r="B785" s="35"/>
      <c r="C785" s="35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</row>
    <row r="786">
      <c r="A786" s="35"/>
      <c r="B786" s="35"/>
      <c r="C786" s="35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</row>
    <row r="787">
      <c r="A787" s="35"/>
      <c r="B787" s="35"/>
      <c r="C787" s="35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</row>
    <row r="788">
      <c r="A788" s="35"/>
      <c r="B788" s="35"/>
      <c r="C788" s="35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</row>
    <row r="789">
      <c r="A789" s="35"/>
      <c r="B789" s="35"/>
      <c r="C789" s="35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</row>
    <row r="790">
      <c r="A790" s="35"/>
      <c r="B790" s="35"/>
      <c r="C790" s="35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</row>
    <row r="791">
      <c r="A791" s="35"/>
      <c r="B791" s="35"/>
      <c r="C791" s="35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</row>
    <row r="792">
      <c r="A792" s="35"/>
      <c r="B792" s="35"/>
      <c r="C792" s="35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</row>
    <row r="793">
      <c r="A793" s="35"/>
      <c r="B793" s="35"/>
      <c r="C793" s="35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</row>
    <row r="794">
      <c r="A794" s="35"/>
      <c r="B794" s="35"/>
      <c r="C794" s="35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</row>
    <row r="795">
      <c r="A795" s="35"/>
      <c r="B795" s="35"/>
      <c r="C795" s="35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</row>
    <row r="796">
      <c r="A796" s="35"/>
      <c r="B796" s="35"/>
      <c r="C796" s="35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</row>
    <row r="797">
      <c r="A797" s="35"/>
      <c r="B797" s="35"/>
      <c r="C797" s="35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</row>
    <row r="798">
      <c r="A798" s="35"/>
      <c r="B798" s="35"/>
      <c r="C798" s="35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</row>
    <row r="799">
      <c r="A799" s="35"/>
      <c r="B799" s="35"/>
      <c r="C799" s="35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</row>
    <row r="800">
      <c r="A800" s="35"/>
      <c r="B800" s="35"/>
      <c r="C800" s="35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</row>
    <row r="801">
      <c r="A801" s="35"/>
      <c r="B801" s="35"/>
      <c r="C801" s="35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</row>
    <row r="802">
      <c r="A802" s="35"/>
      <c r="B802" s="35"/>
      <c r="C802" s="35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</row>
    <row r="803">
      <c r="A803" s="35"/>
      <c r="B803" s="35"/>
      <c r="C803" s="35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</row>
    <row r="804">
      <c r="A804" s="35"/>
      <c r="B804" s="35"/>
      <c r="C804" s="35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</row>
    <row r="805">
      <c r="A805" s="35"/>
      <c r="B805" s="35"/>
      <c r="C805" s="35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</row>
    <row r="806">
      <c r="A806" s="35"/>
      <c r="B806" s="35"/>
      <c r="C806" s="35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</row>
    <row r="807">
      <c r="A807" s="35"/>
      <c r="B807" s="35"/>
      <c r="C807" s="35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</row>
    <row r="808">
      <c r="A808" s="35"/>
      <c r="B808" s="35"/>
      <c r="C808" s="35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</row>
    <row r="809">
      <c r="A809" s="35"/>
      <c r="B809" s="35"/>
      <c r="C809" s="35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</row>
    <row r="810">
      <c r="A810" s="35"/>
      <c r="B810" s="35"/>
      <c r="C810" s="35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</row>
    <row r="811">
      <c r="A811" s="35"/>
      <c r="B811" s="35"/>
      <c r="C811" s="35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</row>
    <row r="812">
      <c r="A812" s="35"/>
      <c r="B812" s="35"/>
      <c r="C812" s="35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</row>
    <row r="813">
      <c r="A813" s="35"/>
      <c r="B813" s="35"/>
      <c r="C813" s="35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</row>
    <row r="814">
      <c r="A814" s="35"/>
      <c r="B814" s="35"/>
      <c r="C814" s="35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</row>
    <row r="815">
      <c r="A815" s="35"/>
      <c r="B815" s="35"/>
      <c r="C815" s="35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</row>
    <row r="816">
      <c r="A816" s="35"/>
      <c r="B816" s="35"/>
      <c r="C816" s="35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</row>
    <row r="817">
      <c r="A817" s="35"/>
      <c r="B817" s="35"/>
      <c r="C817" s="35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</row>
    <row r="818">
      <c r="A818" s="35"/>
      <c r="B818" s="35"/>
      <c r="C818" s="35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</row>
    <row r="819">
      <c r="A819" s="35"/>
      <c r="B819" s="35"/>
      <c r="C819" s="35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</row>
    <row r="820">
      <c r="A820" s="35"/>
      <c r="B820" s="35"/>
      <c r="C820" s="35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</row>
    <row r="821">
      <c r="A821" s="35"/>
      <c r="B821" s="35"/>
      <c r="C821" s="35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</row>
    <row r="822">
      <c r="A822" s="35"/>
      <c r="B822" s="35"/>
      <c r="C822" s="35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</row>
    <row r="823">
      <c r="A823" s="35"/>
      <c r="B823" s="35"/>
      <c r="C823" s="35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</row>
    <row r="824">
      <c r="A824" s="35"/>
      <c r="B824" s="35"/>
      <c r="C824" s="35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</row>
    <row r="825">
      <c r="A825" s="35"/>
      <c r="B825" s="35"/>
      <c r="C825" s="35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</row>
    <row r="826">
      <c r="A826" s="35"/>
      <c r="B826" s="35"/>
      <c r="C826" s="35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</row>
    <row r="827">
      <c r="A827" s="35"/>
      <c r="B827" s="35"/>
      <c r="C827" s="35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</row>
    <row r="828">
      <c r="A828" s="35"/>
      <c r="B828" s="35"/>
      <c r="C828" s="35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</row>
    <row r="829">
      <c r="A829" s="35"/>
      <c r="B829" s="35"/>
      <c r="C829" s="35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</row>
    <row r="830">
      <c r="A830" s="35"/>
      <c r="B830" s="35"/>
      <c r="C830" s="35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</row>
    <row r="831">
      <c r="A831" s="35"/>
      <c r="B831" s="35"/>
      <c r="C831" s="35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</row>
    <row r="832">
      <c r="A832" s="35"/>
      <c r="B832" s="35"/>
      <c r="C832" s="35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</row>
    <row r="833">
      <c r="A833" s="35"/>
      <c r="B833" s="35"/>
      <c r="C833" s="35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</row>
    <row r="834">
      <c r="A834" s="35"/>
      <c r="B834" s="35"/>
      <c r="C834" s="35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</row>
    <row r="835">
      <c r="A835" s="35"/>
      <c r="B835" s="35"/>
      <c r="C835" s="35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</row>
    <row r="836">
      <c r="A836" s="35"/>
      <c r="B836" s="35"/>
      <c r="C836" s="35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</row>
    <row r="837">
      <c r="A837" s="35"/>
      <c r="B837" s="35"/>
      <c r="C837" s="35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</row>
    <row r="838">
      <c r="A838" s="35"/>
      <c r="B838" s="35"/>
      <c r="C838" s="35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</row>
    <row r="839">
      <c r="A839" s="35"/>
      <c r="B839" s="35"/>
      <c r="C839" s="35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</row>
    <row r="840">
      <c r="A840" s="35"/>
      <c r="B840" s="35"/>
      <c r="C840" s="35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</row>
    <row r="841">
      <c r="A841" s="35"/>
      <c r="B841" s="35"/>
      <c r="C841" s="35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</row>
    <row r="842">
      <c r="A842" s="35"/>
      <c r="B842" s="35"/>
      <c r="C842" s="35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</row>
    <row r="843">
      <c r="A843" s="35"/>
      <c r="B843" s="35"/>
      <c r="C843" s="35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</row>
    <row r="844">
      <c r="A844" s="35"/>
      <c r="B844" s="35"/>
      <c r="C844" s="35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</row>
    <row r="845">
      <c r="A845" s="35"/>
      <c r="B845" s="35"/>
      <c r="C845" s="35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</row>
    <row r="846">
      <c r="A846" s="35"/>
      <c r="B846" s="35"/>
      <c r="C846" s="35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</row>
    <row r="847">
      <c r="A847" s="35"/>
      <c r="B847" s="35"/>
      <c r="C847" s="35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</row>
    <row r="848">
      <c r="A848" s="35"/>
      <c r="B848" s="35"/>
      <c r="C848" s="35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</row>
    <row r="849">
      <c r="A849" s="35"/>
      <c r="B849" s="35"/>
      <c r="C849" s="35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</row>
    <row r="850">
      <c r="A850" s="35"/>
      <c r="B850" s="35"/>
      <c r="C850" s="35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</row>
    <row r="851">
      <c r="A851" s="35"/>
      <c r="B851" s="35"/>
      <c r="C851" s="35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</row>
    <row r="852">
      <c r="A852" s="35"/>
      <c r="B852" s="35"/>
      <c r="C852" s="35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</row>
    <row r="853">
      <c r="A853" s="35"/>
      <c r="B853" s="35"/>
      <c r="C853" s="35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</row>
    <row r="854">
      <c r="A854" s="35"/>
      <c r="B854" s="35"/>
      <c r="C854" s="35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</row>
    <row r="855">
      <c r="A855" s="35"/>
      <c r="B855" s="35"/>
      <c r="C855" s="35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</row>
    <row r="856">
      <c r="A856" s="35"/>
      <c r="B856" s="35"/>
      <c r="C856" s="35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</row>
    <row r="857">
      <c r="A857" s="35"/>
      <c r="B857" s="35"/>
      <c r="C857" s="35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</row>
    <row r="858">
      <c r="A858" s="35"/>
      <c r="B858" s="35"/>
      <c r="C858" s="35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</row>
    <row r="859">
      <c r="A859" s="35"/>
      <c r="B859" s="35"/>
      <c r="C859" s="35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</row>
    <row r="860">
      <c r="A860" s="35"/>
      <c r="B860" s="35"/>
      <c r="C860" s="35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</row>
    <row r="861">
      <c r="A861" s="35"/>
      <c r="B861" s="35"/>
      <c r="C861" s="35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</row>
    <row r="862">
      <c r="A862" s="35"/>
      <c r="B862" s="35"/>
      <c r="C862" s="35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</row>
    <row r="863">
      <c r="A863" s="35"/>
      <c r="B863" s="35"/>
      <c r="C863" s="35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</row>
    <row r="864">
      <c r="A864" s="35"/>
      <c r="B864" s="35"/>
      <c r="C864" s="35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</row>
    <row r="865">
      <c r="A865" s="35"/>
      <c r="B865" s="35"/>
      <c r="C865" s="35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</row>
    <row r="866">
      <c r="A866" s="35"/>
      <c r="B866" s="35"/>
      <c r="C866" s="35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</row>
    <row r="867">
      <c r="A867" s="35"/>
      <c r="B867" s="35"/>
      <c r="C867" s="35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</row>
    <row r="868">
      <c r="A868" s="35"/>
      <c r="B868" s="35"/>
      <c r="C868" s="35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</row>
    <row r="869">
      <c r="A869" s="35"/>
      <c r="B869" s="35"/>
      <c r="C869" s="35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</row>
    <row r="870">
      <c r="A870" s="35"/>
      <c r="B870" s="35"/>
      <c r="C870" s="35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</row>
    <row r="871">
      <c r="A871" s="35"/>
      <c r="B871" s="35"/>
      <c r="C871" s="35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</row>
    <row r="872">
      <c r="A872" s="35"/>
      <c r="B872" s="35"/>
      <c r="C872" s="35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</row>
    <row r="873">
      <c r="A873" s="35"/>
      <c r="B873" s="35"/>
      <c r="C873" s="35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</row>
    <row r="874">
      <c r="A874" s="35"/>
      <c r="B874" s="35"/>
      <c r="C874" s="35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</row>
    <row r="875">
      <c r="A875" s="35"/>
      <c r="B875" s="35"/>
      <c r="C875" s="35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</row>
    <row r="876">
      <c r="A876" s="35"/>
      <c r="B876" s="35"/>
      <c r="C876" s="35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</row>
    <row r="877">
      <c r="A877" s="35"/>
      <c r="B877" s="35"/>
      <c r="C877" s="35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</row>
    <row r="878">
      <c r="A878" s="35"/>
      <c r="B878" s="35"/>
      <c r="C878" s="35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</row>
    <row r="879">
      <c r="A879" s="35"/>
      <c r="B879" s="35"/>
      <c r="C879" s="35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</row>
    <row r="880">
      <c r="A880" s="35"/>
      <c r="B880" s="35"/>
      <c r="C880" s="35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</row>
    <row r="881">
      <c r="A881" s="35"/>
      <c r="B881" s="35"/>
      <c r="C881" s="35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</row>
    <row r="882">
      <c r="A882" s="35"/>
      <c r="B882" s="35"/>
      <c r="C882" s="35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</row>
    <row r="883">
      <c r="A883" s="35"/>
      <c r="B883" s="35"/>
      <c r="C883" s="35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</row>
    <row r="884">
      <c r="A884" s="35"/>
      <c r="B884" s="35"/>
      <c r="C884" s="35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</row>
    <row r="885">
      <c r="A885" s="35"/>
      <c r="B885" s="35"/>
      <c r="C885" s="35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</row>
    <row r="886">
      <c r="A886" s="35"/>
      <c r="B886" s="35"/>
      <c r="C886" s="35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</row>
    <row r="887">
      <c r="A887" s="35"/>
      <c r="B887" s="35"/>
      <c r="C887" s="35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</row>
    <row r="888">
      <c r="A888" s="35"/>
      <c r="B888" s="35"/>
      <c r="C888" s="35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</row>
    <row r="889">
      <c r="A889" s="35"/>
      <c r="B889" s="35"/>
      <c r="C889" s="35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</row>
    <row r="890">
      <c r="A890" s="35"/>
      <c r="B890" s="35"/>
      <c r="C890" s="35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</row>
    <row r="891">
      <c r="A891" s="35"/>
      <c r="B891" s="35"/>
      <c r="C891" s="35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</row>
    <row r="892">
      <c r="A892" s="35"/>
      <c r="B892" s="35"/>
      <c r="C892" s="35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</row>
    <row r="893">
      <c r="A893" s="35"/>
      <c r="B893" s="35"/>
      <c r="C893" s="35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</row>
    <row r="894">
      <c r="A894" s="35"/>
      <c r="B894" s="35"/>
      <c r="C894" s="35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</row>
    <row r="895">
      <c r="A895" s="35"/>
      <c r="B895" s="35"/>
      <c r="C895" s="35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</row>
    <row r="896">
      <c r="A896" s="35"/>
      <c r="B896" s="35"/>
      <c r="C896" s="35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</row>
    <row r="897">
      <c r="A897" s="35"/>
      <c r="B897" s="35"/>
      <c r="C897" s="35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</row>
    <row r="898">
      <c r="A898" s="35"/>
      <c r="B898" s="35"/>
      <c r="C898" s="35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</row>
    <row r="899">
      <c r="A899" s="35"/>
      <c r="B899" s="35"/>
      <c r="C899" s="35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</row>
    <row r="900">
      <c r="A900" s="35"/>
      <c r="B900" s="35"/>
      <c r="C900" s="35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</row>
    <row r="901">
      <c r="A901" s="35"/>
      <c r="B901" s="35"/>
      <c r="C901" s="35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</row>
    <row r="902">
      <c r="A902" s="35"/>
      <c r="B902" s="35"/>
      <c r="C902" s="35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</row>
    <row r="903">
      <c r="A903" s="35"/>
      <c r="B903" s="35"/>
      <c r="C903" s="35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</row>
    <row r="904">
      <c r="A904" s="35"/>
      <c r="B904" s="35"/>
      <c r="C904" s="35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</row>
    <row r="905">
      <c r="A905" s="35"/>
      <c r="B905" s="35"/>
      <c r="C905" s="35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</row>
    <row r="906">
      <c r="A906" s="35"/>
      <c r="B906" s="35"/>
      <c r="C906" s="35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</row>
    <row r="907">
      <c r="A907" s="35"/>
      <c r="B907" s="35"/>
      <c r="C907" s="35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</row>
    <row r="908">
      <c r="A908" s="35"/>
      <c r="B908" s="35"/>
      <c r="C908" s="35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</row>
    <row r="909">
      <c r="A909" s="35"/>
      <c r="B909" s="35"/>
      <c r="C909" s="35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</row>
    <row r="910">
      <c r="A910" s="35"/>
      <c r="B910" s="35"/>
      <c r="C910" s="35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</row>
    <row r="911">
      <c r="A911" s="35"/>
      <c r="B911" s="35"/>
      <c r="C911" s="35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</row>
    <row r="912">
      <c r="A912" s="35"/>
      <c r="B912" s="35"/>
      <c r="C912" s="35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</row>
    <row r="913">
      <c r="A913" s="35"/>
      <c r="B913" s="35"/>
      <c r="C913" s="35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</row>
    <row r="914">
      <c r="A914" s="35"/>
      <c r="B914" s="35"/>
      <c r="C914" s="35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</row>
    <row r="915">
      <c r="A915" s="35"/>
      <c r="B915" s="35"/>
      <c r="C915" s="35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</row>
    <row r="916">
      <c r="A916" s="35"/>
      <c r="B916" s="35"/>
      <c r="C916" s="35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</row>
    <row r="917">
      <c r="A917" s="35"/>
      <c r="B917" s="35"/>
      <c r="C917" s="35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</row>
    <row r="918">
      <c r="A918" s="35"/>
      <c r="B918" s="35"/>
      <c r="C918" s="35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</row>
    <row r="919">
      <c r="A919" s="35"/>
      <c r="B919" s="35"/>
      <c r="C919" s="35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</row>
    <row r="920">
      <c r="A920" s="35"/>
      <c r="B920" s="35"/>
      <c r="C920" s="35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</row>
    <row r="921">
      <c r="A921" s="35"/>
      <c r="B921" s="35"/>
      <c r="C921" s="35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</row>
    <row r="922">
      <c r="A922" s="35"/>
      <c r="B922" s="35"/>
      <c r="C922" s="35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</row>
    <row r="923">
      <c r="A923" s="35"/>
      <c r="B923" s="35"/>
      <c r="C923" s="35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</row>
    <row r="924">
      <c r="A924" s="35"/>
      <c r="B924" s="35"/>
      <c r="C924" s="35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</row>
    <row r="925">
      <c r="A925" s="35"/>
      <c r="B925" s="35"/>
      <c r="C925" s="35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</row>
    <row r="926">
      <c r="A926" s="35"/>
      <c r="B926" s="35"/>
      <c r="C926" s="35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</row>
    <row r="927">
      <c r="A927" s="35"/>
      <c r="B927" s="35"/>
      <c r="C927" s="35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</row>
    <row r="928">
      <c r="A928" s="35"/>
      <c r="B928" s="35"/>
      <c r="C928" s="35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</row>
    <row r="929">
      <c r="A929" s="35"/>
      <c r="B929" s="35"/>
      <c r="C929" s="35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</row>
    <row r="930">
      <c r="A930" s="35"/>
      <c r="B930" s="35"/>
      <c r="C930" s="35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</row>
    <row r="931">
      <c r="A931" s="35"/>
      <c r="B931" s="35"/>
      <c r="C931" s="35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</row>
    <row r="932">
      <c r="A932" s="35"/>
      <c r="B932" s="35"/>
      <c r="C932" s="35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</row>
    <row r="933">
      <c r="A933" s="35"/>
      <c r="B933" s="35"/>
      <c r="C933" s="35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</row>
    <row r="934">
      <c r="A934" s="35"/>
      <c r="B934" s="35"/>
      <c r="C934" s="35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</row>
    <row r="935">
      <c r="A935" s="35"/>
      <c r="B935" s="35"/>
      <c r="C935" s="35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</row>
    <row r="936">
      <c r="A936" s="35"/>
      <c r="B936" s="35"/>
      <c r="C936" s="35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</row>
    <row r="937">
      <c r="A937" s="35"/>
      <c r="B937" s="35"/>
      <c r="C937" s="35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</row>
    <row r="938">
      <c r="A938" s="35"/>
      <c r="B938" s="35"/>
      <c r="C938" s="35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</row>
    <row r="939">
      <c r="A939" s="35"/>
      <c r="B939" s="35"/>
      <c r="C939" s="35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</row>
    <row r="940">
      <c r="A940" s="35"/>
      <c r="B940" s="35"/>
      <c r="C940" s="35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</row>
    <row r="941">
      <c r="A941" s="35"/>
      <c r="B941" s="35"/>
      <c r="C941" s="35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</row>
    <row r="942">
      <c r="A942" s="35"/>
      <c r="B942" s="35"/>
      <c r="C942" s="35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</row>
    <row r="943">
      <c r="A943" s="35"/>
      <c r="B943" s="35"/>
      <c r="C943" s="35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</row>
    <row r="944">
      <c r="A944" s="35"/>
      <c r="B944" s="35"/>
      <c r="C944" s="35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</row>
    <row r="945">
      <c r="A945" s="35"/>
      <c r="B945" s="35"/>
      <c r="C945" s="35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</row>
    <row r="946">
      <c r="A946" s="35"/>
      <c r="B946" s="35"/>
      <c r="C946" s="35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</row>
    <row r="947">
      <c r="A947" s="35"/>
      <c r="B947" s="35"/>
      <c r="C947" s="35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</row>
    <row r="948">
      <c r="A948" s="35"/>
      <c r="B948" s="35"/>
      <c r="C948" s="35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</row>
    <row r="949">
      <c r="A949" s="35"/>
      <c r="B949" s="35"/>
      <c r="C949" s="35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</row>
    <row r="950">
      <c r="A950" s="35"/>
      <c r="B950" s="35"/>
      <c r="C950" s="35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</row>
    <row r="951">
      <c r="A951" s="35"/>
      <c r="B951" s="35"/>
      <c r="C951" s="35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</row>
    <row r="952">
      <c r="A952" s="35"/>
      <c r="B952" s="35"/>
      <c r="C952" s="35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</row>
    <row r="953">
      <c r="A953" s="35"/>
      <c r="B953" s="35"/>
      <c r="C953" s="35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</row>
    <row r="954">
      <c r="A954" s="35"/>
      <c r="B954" s="35"/>
      <c r="C954" s="35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</row>
    <row r="955">
      <c r="A955" s="35"/>
      <c r="B955" s="35"/>
      <c r="C955" s="35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</row>
    <row r="956">
      <c r="A956" s="35"/>
      <c r="B956" s="35"/>
      <c r="C956" s="35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</row>
    <row r="957">
      <c r="A957" s="35"/>
      <c r="B957" s="35"/>
      <c r="C957" s="35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</row>
    <row r="958">
      <c r="A958" s="35"/>
      <c r="B958" s="35"/>
      <c r="C958" s="35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</row>
    <row r="959">
      <c r="A959" s="35"/>
      <c r="B959" s="35"/>
      <c r="C959" s="35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</row>
    <row r="960">
      <c r="A960" s="35"/>
      <c r="B960" s="35"/>
      <c r="C960" s="35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</row>
    <row r="961">
      <c r="A961" s="35"/>
      <c r="B961" s="35"/>
      <c r="C961" s="35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</row>
    <row r="962">
      <c r="A962" s="35"/>
      <c r="B962" s="35"/>
      <c r="C962" s="35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</row>
    <row r="963">
      <c r="A963" s="35"/>
      <c r="B963" s="35"/>
      <c r="C963" s="35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</row>
    <row r="964">
      <c r="A964" s="35"/>
      <c r="B964" s="35"/>
      <c r="C964" s="35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</row>
    <row r="965">
      <c r="A965" s="35"/>
      <c r="B965" s="35"/>
      <c r="C965" s="35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</row>
    <row r="966">
      <c r="A966" s="35"/>
      <c r="B966" s="35"/>
      <c r="C966" s="35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</row>
    <row r="967">
      <c r="A967" s="35"/>
      <c r="B967" s="35"/>
      <c r="C967" s="35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</row>
    <row r="968">
      <c r="A968" s="35"/>
      <c r="B968" s="35"/>
      <c r="C968" s="35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</row>
    <row r="969">
      <c r="A969" s="35"/>
      <c r="B969" s="35"/>
      <c r="C969" s="35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</row>
    <row r="970">
      <c r="A970" s="35"/>
      <c r="B970" s="35"/>
      <c r="C970" s="35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</row>
    <row r="971">
      <c r="A971" s="35"/>
      <c r="B971" s="35"/>
      <c r="C971" s="35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</row>
  </sheetData>
  <mergeCells count="24">
    <mergeCell ref="K5:K6"/>
    <mergeCell ref="L5:L6"/>
    <mergeCell ref="M5:M6"/>
    <mergeCell ref="N5:N6"/>
    <mergeCell ref="B1:O4"/>
    <mergeCell ref="A5:A6"/>
    <mergeCell ref="B5:B6"/>
    <mergeCell ref="C5:C6"/>
    <mergeCell ref="D5:D6"/>
    <mergeCell ref="J5:J6"/>
    <mergeCell ref="O5:O6"/>
    <mergeCell ref="J30:J31"/>
    <mergeCell ref="K30:K31"/>
    <mergeCell ref="L30:L31"/>
    <mergeCell ref="M30:M31"/>
    <mergeCell ref="N30:N31"/>
    <mergeCell ref="O30:O31"/>
    <mergeCell ref="E5:I5"/>
    <mergeCell ref="B26:O29"/>
    <mergeCell ref="A30:A31"/>
    <mergeCell ref="B30:B31"/>
    <mergeCell ref="C30:C31"/>
    <mergeCell ref="D30:D31"/>
    <mergeCell ref="E30:I30"/>
  </mergeCells>
  <conditionalFormatting sqref="K7:K24 M7:M24 K32:K49 M32:M49">
    <cfRule type="cellIs" dxfId="0" priority="1" operator="between">
      <formula>"0%"</formula>
      <formula>"79.99%"</formula>
    </cfRule>
  </conditionalFormatting>
  <conditionalFormatting sqref="K7:K24 M7:M24 K32:K49 M32:M49">
    <cfRule type="cellIs" dxfId="1" priority="2" operator="between">
      <formula>"80%"</formula>
      <formula>"99.99%"</formula>
    </cfRule>
  </conditionalFormatting>
  <conditionalFormatting sqref="K7:K24 M7:M24 K32:K49 M32:M49">
    <cfRule type="cellIs" dxfId="2" priority="3" operator="between">
      <formula>"100%"</formula>
      <formula>"500%"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5.13"/>
    <col customWidth="1" min="3" max="3" width="16.13"/>
    <col customWidth="1" min="4" max="5" width="15.13"/>
    <col customWidth="1" min="13" max="13" width="13.63"/>
    <col customWidth="1" min="16" max="16" width="24.0"/>
  </cols>
  <sheetData>
    <row r="1" ht="14.25" customHeight="1">
      <c r="A1" s="69" t="s">
        <v>0</v>
      </c>
      <c r="B1" s="42" t="s">
        <v>100</v>
      </c>
    </row>
    <row r="2" ht="11.25" customHeight="1">
      <c r="A2" s="3"/>
    </row>
    <row r="3">
      <c r="A3" s="3"/>
    </row>
    <row r="4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>
      <c r="A5" s="5" t="s">
        <v>2</v>
      </c>
      <c r="B5" s="5" t="s">
        <v>3</v>
      </c>
      <c r="C5" s="5" t="s">
        <v>4</v>
      </c>
      <c r="D5" s="6" t="s">
        <v>5</v>
      </c>
      <c r="E5" s="7" t="s">
        <v>6</v>
      </c>
      <c r="F5" s="4"/>
      <c r="G5" s="4"/>
      <c r="H5" s="4"/>
      <c r="I5" s="8"/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12</v>
      </c>
    </row>
    <row r="6">
      <c r="A6" s="8"/>
      <c r="B6" s="8"/>
      <c r="C6" s="8"/>
      <c r="D6" s="8"/>
      <c r="E6" s="9" t="s">
        <v>13</v>
      </c>
      <c r="F6" s="9" t="s">
        <v>14</v>
      </c>
      <c r="G6" s="9" t="s">
        <v>15</v>
      </c>
      <c r="H6" s="9" t="s">
        <v>16</v>
      </c>
      <c r="I6" s="9" t="s">
        <v>17</v>
      </c>
      <c r="J6" s="8"/>
      <c r="K6" s="8"/>
      <c r="L6" s="8"/>
      <c r="M6" s="8"/>
      <c r="N6" s="8"/>
      <c r="O6" s="8"/>
    </row>
    <row r="7">
      <c r="A7" s="10">
        <v>95.0</v>
      </c>
      <c r="B7" s="11" t="s">
        <v>18</v>
      </c>
      <c r="C7" s="11" t="s">
        <v>19</v>
      </c>
      <c r="D7" s="12">
        <f>902500000/90%</f>
        <v>1002777778</v>
      </c>
      <c r="E7" s="12">
        <v>1.8947551416E8</v>
      </c>
      <c r="F7" s="12">
        <v>1.8020495359E8</v>
      </c>
      <c r="G7" s="12">
        <v>2.3654152456E8</v>
      </c>
      <c r="H7" s="13">
        <v>2.9160560622E8</v>
      </c>
      <c r="I7" s="13"/>
      <c r="J7" s="14">
        <f t="shared" ref="J7:J9" si="1">SUM(E7:I7)</f>
        <v>897827598.5</v>
      </c>
      <c r="K7" s="15">
        <f t="shared" ref="K7:K24" si="2">J7/D7</f>
        <v>0.8953405415</v>
      </c>
      <c r="L7" s="16">
        <f t="shared" ref="L7:L9" si="3">J7/O7*N7</f>
        <v>897827598.5</v>
      </c>
      <c r="M7" s="59">
        <f t="shared" ref="M7:M9" si="4">L7/D7</f>
        <v>0.8953405415</v>
      </c>
      <c r="N7" s="18">
        <v>22.0</v>
      </c>
      <c r="O7" s="19">
        <v>22.0</v>
      </c>
      <c r="P7" s="20" t="s">
        <v>101</v>
      </c>
    </row>
    <row r="8">
      <c r="A8" s="10">
        <v>6.0</v>
      </c>
      <c r="B8" s="11" t="s">
        <v>21</v>
      </c>
      <c r="C8" s="11" t="s">
        <v>19</v>
      </c>
      <c r="D8" s="12">
        <f>72000000/90%</f>
        <v>80000000</v>
      </c>
      <c r="E8" s="12">
        <v>1.276036163E7</v>
      </c>
      <c r="F8" s="12">
        <v>8911990.0</v>
      </c>
      <c r="G8" s="12">
        <v>1.983889718E7</v>
      </c>
      <c r="H8" s="13">
        <v>2.582839821E7</v>
      </c>
      <c r="I8" s="12"/>
      <c r="J8" s="14">
        <f t="shared" si="1"/>
        <v>67339647.02</v>
      </c>
      <c r="K8" s="15">
        <f t="shared" si="2"/>
        <v>0.8417455878</v>
      </c>
      <c r="L8" s="16">
        <f t="shared" si="3"/>
        <v>67339647.02</v>
      </c>
      <c r="M8" s="59">
        <f t="shared" si="4"/>
        <v>0.8417455878</v>
      </c>
      <c r="N8" s="18">
        <v>22.0</v>
      </c>
      <c r="O8" s="19">
        <v>22.0</v>
      </c>
      <c r="P8" s="20" t="s">
        <v>101</v>
      </c>
    </row>
    <row r="9">
      <c r="A9" s="10">
        <v>64.0</v>
      </c>
      <c r="B9" s="10" t="s">
        <v>22</v>
      </c>
      <c r="C9" s="11" t="s">
        <v>19</v>
      </c>
      <c r="D9" s="12">
        <v>5.0E8</v>
      </c>
      <c r="E9" s="12">
        <v>5.59195E7</v>
      </c>
      <c r="F9" s="12">
        <v>5.1521E7</v>
      </c>
      <c r="G9" s="12">
        <v>5.01305E7</v>
      </c>
      <c r="H9" s="12">
        <v>6.27015E7</v>
      </c>
      <c r="I9" s="12"/>
      <c r="J9" s="14">
        <f t="shared" si="1"/>
        <v>220272500</v>
      </c>
      <c r="K9" s="15">
        <f t="shared" si="2"/>
        <v>0.440545</v>
      </c>
      <c r="L9" s="16">
        <f t="shared" si="3"/>
        <v>220272500</v>
      </c>
      <c r="M9" s="59">
        <f t="shared" si="4"/>
        <v>0.440545</v>
      </c>
      <c r="N9" s="18">
        <v>23.0</v>
      </c>
      <c r="O9" s="19">
        <v>23.0</v>
      </c>
      <c r="P9" s="20" t="s">
        <v>101</v>
      </c>
    </row>
    <row r="10">
      <c r="A10" s="10">
        <v>2.0</v>
      </c>
      <c r="B10" s="10" t="s">
        <v>24</v>
      </c>
      <c r="C10" s="10" t="s">
        <v>68</v>
      </c>
      <c r="D10" s="21">
        <v>1.0</v>
      </c>
      <c r="E10" s="21">
        <v>1.5771</v>
      </c>
      <c r="F10" s="21">
        <v>1.5771</v>
      </c>
      <c r="G10" s="21">
        <v>1.6</v>
      </c>
      <c r="H10" s="21">
        <v>1.6317</v>
      </c>
      <c r="I10" s="21"/>
      <c r="J10" s="57">
        <f t="shared" ref="J10:J11" si="5">H10</f>
        <v>1.6317</v>
      </c>
      <c r="K10" s="15">
        <f t="shared" si="2"/>
        <v>1.6317</v>
      </c>
      <c r="L10" s="58">
        <f t="shared" ref="L10:L11" si="6">K10</f>
        <v>1.6317</v>
      </c>
      <c r="M10" s="59">
        <f t="shared" ref="M10:M11" si="7">K10</f>
        <v>1.6317</v>
      </c>
      <c r="N10" s="18">
        <v>19.0</v>
      </c>
      <c r="O10" s="19">
        <v>19.0</v>
      </c>
      <c r="P10" s="20" t="s">
        <v>101</v>
      </c>
    </row>
    <row r="11">
      <c r="A11" s="10">
        <v>10.0</v>
      </c>
      <c r="B11" s="10" t="s">
        <v>25</v>
      </c>
      <c r="C11" s="11" t="s">
        <v>26</v>
      </c>
      <c r="D11" s="21">
        <v>0.8</v>
      </c>
      <c r="E11" s="21">
        <v>0.5702</v>
      </c>
      <c r="F11" s="21">
        <v>0.4687</v>
      </c>
      <c r="G11" s="21">
        <v>0.8825</v>
      </c>
      <c r="H11" s="24">
        <v>1.1651</v>
      </c>
      <c r="I11" s="24"/>
      <c r="J11" s="57">
        <f t="shared" si="5"/>
        <v>1.1651</v>
      </c>
      <c r="K11" s="15">
        <f t="shared" si="2"/>
        <v>1.456375</v>
      </c>
      <c r="L11" s="58">
        <f t="shared" si="6"/>
        <v>1.456375</v>
      </c>
      <c r="M11" s="78">
        <f t="shared" si="7"/>
        <v>1.456375</v>
      </c>
      <c r="N11" s="18">
        <v>19.0</v>
      </c>
      <c r="O11" s="19">
        <v>19.0</v>
      </c>
      <c r="P11" s="20" t="s">
        <v>101</v>
      </c>
    </row>
    <row r="12">
      <c r="A12" s="10">
        <v>26.0</v>
      </c>
      <c r="B12" s="10" t="s">
        <v>27</v>
      </c>
      <c r="C12" s="11" t="s">
        <v>19</v>
      </c>
      <c r="D12" s="19">
        <v>1360.0</v>
      </c>
      <c r="E12" s="18">
        <v>255.0</v>
      </c>
      <c r="F12" s="18">
        <v>190.0</v>
      </c>
      <c r="G12" s="18">
        <v>238.0</v>
      </c>
      <c r="H12" s="18">
        <v>178.0</v>
      </c>
      <c r="I12" s="29">
        <v>254.0</v>
      </c>
      <c r="J12" s="30">
        <f t="shared" ref="J12:J23" si="8">SUM(E12:I12)</f>
        <v>1115</v>
      </c>
      <c r="K12" s="15">
        <f t="shared" si="2"/>
        <v>0.8198529412</v>
      </c>
      <c r="L12" s="16">
        <f t="shared" ref="L12:L23" si="9">J12/O12*N12</f>
        <v>1115</v>
      </c>
      <c r="M12" s="59">
        <f t="shared" ref="M12:M23" si="10">L12/D12</f>
        <v>0.8198529412</v>
      </c>
      <c r="N12" s="18">
        <v>19.0</v>
      </c>
      <c r="O12" s="18">
        <v>19.0</v>
      </c>
      <c r="P12" s="20" t="s">
        <v>102</v>
      </c>
    </row>
    <row r="13">
      <c r="A13" s="10">
        <v>15.0</v>
      </c>
      <c r="B13" s="10" t="s">
        <v>29</v>
      </c>
      <c r="C13" s="11" t="s">
        <v>19</v>
      </c>
      <c r="D13" s="19">
        <v>5.1938E7</v>
      </c>
      <c r="E13" s="19">
        <v>5391000.0</v>
      </c>
      <c r="F13" s="12">
        <v>1.1651E7</v>
      </c>
      <c r="G13" s="12">
        <v>1.0673E7</v>
      </c>
      <c r="H13" s="12">
        <v>1.7924E7</v>
      </c>
      <c r="I13" s="19">
        <v>1.2135E7</v>
      </c>
      <c r="J13" s="30">
        <f t="shared" si="8"/>
        <v>57774000</v>
      </c>
      <c r="K13" s="15">
        <f t="shared" si="2"/>
        <v>1.112364743</v>
      </c>
      <c r="L13" s="16">
        <f t="shared" si="9"/>
        <v>57774000</v>
      </c>
      <c r="M13" s="59">
        <f t="shared" si="10"/>
        <v>1.112364743</v>
      </c>
      <c r="N13" s="18">
        <v>19.0</v>
      </c>
      <c r="O13" s="18">
        <v>19.0</v>
      </c>
      <c r="P13" s="20" t="s">
        <v>102</v>
      </c>
    </row>
    <row r="14">
      <c r="A14" s="10">
        <v>35.0</v>
      </c>
      <c r="B14" s="10" t="s">
        <v>31</v>
      </c>
      <c r="C14" s="11" t="s">
        <v>19</v>
      </c>
      <c r="D14" s="12">
        <v>2.3809228765E8</v>
      </c>
      <c r="E14" s="19">
        <v>4.1202364E7</v>
      </c>
      <c r="F14" s="19">
        <v>4.6503219E7</v>
      </c>
      <c r="G14" s="19">
        <v>7.8562314E7</v>
      </c>
      <c r="H14" s="19">
        <v>8.0020907E7</v>
      </c>
      <c r="I14" s="19">
        <v>1.6319331E7</v>
      </c>
      <c r="J14" s="30">
        <f t="shared" si="8"/>
        <v>262608135</v>
      </c>
      <c r="K14" s="15">
        <f t="shared" si="2"/>
        <v>1.102967835</v>
      </c>
      <c r="L14" s="16">
        <f t="shared" si="9"/>
        <v>262608135</v>
      </c>
      <c r="M14" s="59">
        <f t="shared" si="10"/>
        <v>1.102967835</v>
      </c>
      <c r="N14" s="18">
        <v>19.0</v>
      </c>
      <c r="O14" s="18">
        <v>19.0</v>
      </c>
      <c r="P14" s="20" t="s">
        <v>103</v>
      </c>
    </row>
    <row r="15" ht="17.25" customHeight="1">
      <c r="A15" s="10">
        <v>102.0</v>
      </c>
      <c r="B15" s="11" t="s">
        <v>32</v>
      </c>
      <c r="C15" s="11" t="s">
        <v>19</v>
      </c>
      <c r="D15" s="19">
        <v>22032.0</v>
      </c>
      <c r="E15" s="18">
        <v>2959.0</v>
      </c>
      <c r="F15" s="18">
        <f>609+1133+1020+523+869+948</f>
        <v>5102</v>
      </c>
      <c r="G15" s="18">
        <f>699+788+1939</f>
        <v>3426</v>
      </c>
      <c r="H15" s="18">
        <f>1582+2737+440</f>
        <v>4759</v>
      </c>
      <c r="I15" s="18"/>
      <c r="J15" s="30">
        <f t="shared" si="8"/>
        <v>16246</v>
      </c>
      <c r="K15" s="15">
        <f t="shared" si="2"/>
        <v>0.7373819898</v>
      </c>
      <c r="L15" s="16">
        <f t="shared" si="9"/>
        <v>16246</v>
      </c>
      <c r="M15" s="59">
        <f t="shared" si="10"/>
        <v>0.7373819898</v>
      </c>
      <c r="N15" s="18">
        <v>19.0</v>
      </c>
      <c r="O15" s="18">
        <v>19.0</v>
      </c>
      <c r="P15" s="20" t="s">
        <v>104</v>
      </c>
    </row>
    <row r="16">
      <c r="A16" s="10">
        <v>10.0</v>
      </c>
      <c r="B16" s="10" t="s">
        <v>72</v>
      </c>
      <c r="C16" s="11" t="s">
        <v>19</v>
      </c>
      <c r="D16" s="19">
        <v>1995.0</v>
      </c>
      <c r="E16" s="18">
        <v>315.0</v>
      </c>
      <c r="F16" s="18">
        <f>170+223+104</f>
        <v>497</v>
      </c>
      <c r="G16" s="18">
        <f>214+94+248</f>
        <v>556</v>
      </c>
      <c r="H16" s="18">
        <f>56+481+27</f>
        <v>564</v>
      </c>
      <c r="I16" s="18"/>
      <c r="J16" s="45">
        <f t="shared" si="8"/>
        <v>1932</v>
      </c>
      <c r="K16" s="15">
        <f t="shared" si="2"/>
        <v>0.9684210526</v>
      </c>
      <c r="L16" s="16">
        <f t="shared" si="9"/>
        <v>1932</v>
      </c>
      <c r="M16" s="59">
        <f t="shared" si="10"/>
        <v>0.9684210526</v>
      </c>
      <c r="N16" s="18">
        <v>19.0</v>
      </c>
      <c r="O16" s="18">
        <f t="shared" ref="O16:P16" si="11">O15</f>
        <v>19</v>
      </c>
      <c r="P16" s="20" t="str">
        <f t="shared" si="11"/>
        <v>As of June 30, 2025</v>
      </c>
    </row>
    <row r="17">
      <c r="A17" s="10">
        <v>39.0</v>
      </c>
      <c r="B17" s="11" t="s">
        <v>35</v>
      </c>
      <c r="C17" s="11" t="s">
        <v>19</v>
      </c>
      <c r="D17" s="19">
        <v>4.72327869E8</v>
      </c>
      <c r="E17" s="19">
        <f>37829000+16817000+29152000+22367000</f>
        <v>106165000</v>
      </c>
      <c r="F17" s="79">
        <f>48915000+35471000+32256000+37614000</f>
        <v>154256000</v>
      </c>
      <c r="G17" s="79">
        <f>31246000+33931000+30391000+31733000+32186000+38260000</f>
        <v>197747000</v>
      </c>
      <c r="H17" s="19">
        <f>44559000+34995500+42805597+37268000+45991000</f>
        <v>205619097</v>
      </c>
      <c r="I17" s="19">
        <f>55509000</f>
        <v>55509000</v>
      </c>
      <c r="J17" s="30">
        <f t="shared" si="8"/>
        <v>719296097</v>
      </c>
      <c r="K17" s="15">
        <f t="shared" si="2"/>
        <v>1.522874563</v>
      </c>
      <c r="L17" s="16">
        <f t="shared" si="9"/>
        <v>719296097</v>
      </c>
      <c r="M17" s="59">
        <f t="shared" si="10"/>
        <v>1.522874563</v>
      </c>
      <c r="N17" s="18">
        <v>20.0</v>
      </c>
      <c r="O17" s="18">
        <v>20.0</v>
      </c>
      <c r="P17" s="61" t="s">
        <v>105</v>
      </c>
    </row>
    <row r="18">
      <c r="A18" s="10">
        <v>11.0</v>
      </c>
      <c r="B18" s="11" t="s">
        <v>37</v>
      </c>
      <c r="C18" s="11" t="s">
        <v>19</v>
      </c>
      <c r="D18" s="12">
        <v>1700.0</v>
      </c>
      <c r="E18" s="80">
        <f>50+50+66+63</f>
        <v>229</v>
      </c>
      <c r="F18" s="81">
        <f>51+62+56+50</f>
        <v>219</v>
      </c>
      <c r="G18" s="82">
        <f>51+51+42+56+42</f>
        <v>242</v>
      </c>
      <c r="H18" s="34">
        <f>56+57+61+67+60+51</f>
        <v>352</v>
      </c>
      <c r="I18" s="34">
        <f>58</f>
        <v>58</v>
      </c>
      <c r="J18" s="30">
        <f t="shared" si="8"/>
        <v>1100</v>
      </c>
      <c r="K18" s="15">
        <f t="shared" si="2"/>
        <v>0.6470588235</v>
      </c>
      <c r="L18" s="16">
        <f t="shared" si="9"/>
        <v>1100</v>
      </c>
      <c r="M18" s="59">
        <f t="shared" si="10"/>
        <v>0.6470588235</v>
      </c>
      <c r="N18" s="18">
        <v>20.0</v>
      </c>
      <c r="O18" s="18">
        <v>20.0</v>
      </c>
      <c r="P18" s="61" t="s">
        <v>105</v>
      </c>
    </row>
    <row r="19">
      <c r="A19" s="10">
        <v>5.0</v>
      </c>
      <c r="B19" s="11" t="s">
        <v>38</v>
      </c>
      <c r="C19" s="11" t="s">
        <v>19</v>
      </c>
      <c r="D19" s="12">
        <v>550.0</v>
      </c>
      <c r="E19" s="80">
        <f>31+29+17+23</f>
        <v>100</v>
      </c>
      <c r="F19" s="83">
        <f>27+28+19+15</f>
        <v>89</v>
      </c>
      <c r="G19" s="82">
        <f>29+42+57+62+69</f>
        <v>259</v>
      </c>
      <c r="H19" s="29">
        <f>58+76+97+138+110+62</f>
        <v>541</v>
      </c>
      <c r="I19" s="29">
        <f>74</f>
        <v>74</v>
      </c>
      <c r="J19" s="30">
        <f t="shared" si="8"/>
        <v>1063</v>
      </c>
      <c r="K19" s="15">
        <f t="shared" si="2"/>
        <v>1.932727273</v>
      </c>
      <c r="L19" s="16">
        <f t="shared" si="9"/>
        <v>1063</v>
      </c>
      <c r="M19" s="59">
        <f t="shared" si="10"/>
        <v>1.932727273</v>
      </c>
      <c r="N19" s="18">
        <f t="shared" ref="N19:P19" si="12">N18</f>
        <v>20</v>
      </c>
      <c r="O19" s="18">
        <f t="shared" si="12"/>
        <v>20</v>
      </c>
      <c r="P19" s="61" t="str">
        <f t="shared" si="12"/>
        <v>June 30, 2025-FINAL</v>
      </c>
    </row>
    <row r="20">
      <c r="A20" s="10">
        <v>20.0</v>
      </c>
      <c r="B20" s="10" t="s">
        <v>39</v>
      </c>
      <c r="C20" s="11" t="s">
        <v>19</v>
      </c>
      <c r="D20" s="12">
        <v>3400.0</v>
      </c>
      <c r="E20" s="19">
        <f>157+170+174+161</f>
        <v>662</v>
      </c>
      <c r="F20" s="29">
        <f>157+194+147+169</f>
        <v>667</v>
      </c>
      <c r="G20" s="19">
        <f>183+158+165+187+185</f>
        <v>878</v>
      </c>
      <c r="H20" s="29">
        <f>91+207+244+278+274+169</f>
        <v>1263</v>
      </c>
      <c r="I20" s="29">
        <v>178.0</v>
      </c>
      <c r="J20" s="30">
        <f t="shared" si="8"/>
        <v>3648</v>
      </c>
      <c r="K20" s="15">
        <f t="shared" si="2"/>
        <v>1.072941176</v>
      </c>
      <c r="L20" s="16">
        <f t="shared" si="9"/>
        <v>3648</v>
      </c>
      <c r="M20" s="59">
        <f t="shared" si="10"/>
        <v>1.072941176</v>
      </c>
      <c r="N20" s="18">
        <f t="shared" ref="N20:P20" si="13">N19</f>
        <v>20</v>
      </c>
      <c r="O20" s="18">
        <f t="shared" si="13"/>
        <v>20</v>
      </c>
      <c r="P20" s="61" t="str">
        <f t="shared" si="13"/>
        <v>June 30, 2025-FINAL</v>
      </c>
    </row>
    <row r="21">
      <c r="A21" s="10">
        <v>20.0</v>
      </c>
      <c r="B21" s="10" t="s">
        <v>40</v>
      </c>
      <c r="C21" s="11" t="s">
        <v>19</v>
      </c>
      <c r="D21" s="12">
        <v>280.0</v>
      </c>
      <c r="E21" s="19">
        <v>30.0</v>
      </c>
      <c r="F21" s="29">
        <v>50.0</v>
      </c>
      <c r="G21" s="29">
        <v>89.0</v>
      </c>
      <c r="H21" s="29">
        <v>74.0</v>
      </c>
      <c r="I21" s="29">
        <v>9.0</v>
      </c>
      <c r="J21" s="30">
        <f t="shared" si="8"/>
        <v>252</v>
      </c>
      <c r="K21" s="15">
        <f t="shared" si="2"/>
        <v>0.9</v>
      </c>
      <c r="L21" s="16">
        <f t="shared" si="9"/>
        <v>252</v>
      </c>
      <c r="M21" s="59">
        <f t="shared" si="10"/>
        <v>0.9</v>
      </c>
      <c r="N21" s="18">
        <v>19.0</v>
      </c>
      <c r="O21" s="18">
        <v>19.0</v>
      </c>
      <c r="P21" s="20" t="s">
        <v>106</v>
      </c>
    </row>
    <row r="22">
      <c r="A22" s="10">
        <v>21.0</v>
      </c>
      <c r="B22" s="10" t="s">
        <v>73</v>
      </c>
      <c r="C22" s="11" t="s">
        <v>19</v>
      </c>
      <c r="D22" s="12">
        <v>2394.0</v>
      </c>
      <c r="E22" s="19">
        <v>564.0</v>
      </c>
      <c r="F22" s="29">
        <v>474.0</v>
      </c>
      <c r="G22" s="29">
        <v>646.0</v>
      </c>
      <c r="H22" s="32">
        <v>561.0</v>
      </c>
      <c r="I22" s="29">
        <v>220.0</v>
      </c>
      <c r="J22" s="30">
        <f t="shared" si="8"/>
        <v>2465</v>
      </c>
      <c r="K22" s="15">
        <f t="shared" si="2"/>
        <v>1.029657477</v>
      </c>
      <c r="L22" s="16">
        <f t="shared" si="9"/>
        <v>2465</v>
      </c>
      <c r="M22" s="59">
        <f t="shared" si="10"/>
        <v>1.029657477</v>
      </c>
      <c r="N22" s="18">
        <v>20.0</v>
      </c>
      <c r="O22" s="18">
        <v>20.0</v>
      </c>
      <c r="P22" s="20" t="s">
        <v>107</v>
      </c>
    </row>
    <row r="23">
      <c r="A23" s="10">
        <v>1.0</v>
      </c>
      <c r="B23" s="10" t="s">
        <v>43</v>
      </c>
      <c r="C23" s="11" t="s">
        <v>19</v>
      </c>
      <c r="D23" s="12">
        <v>25.0</v>
      </c>
      <c r="E23" s="12">
        <v>6.0</v>
      </c>
      <c r="F23" s="12">
        <v>10.0</v>
      </c>
      <c r="G23" s="12">
        <v>12.0</v>
      </c>
      <c r="H23" s="12">
        <v>11.0</v>
      </c>
      <c r="I23" s="12">
        <v>2.0</v>
      </c>
      <c r="J23" s="14">
        <f t="shared" si="8"/>
        <v>41</v>
      </c>
      <c r="K23" s="15">
        <f t="shared" si="2"/>
        <v>1.64</v>
      </c>
      <c r="L23" s="16">
        <f t="shared" si="9"/>
        <v>43.27777778</v>
      </c>
      <c r="M23" s="59">
        <f t="shared" si="10"/>
        <v>1.731111111</v>
      </c>
      <c r="N23" s="18">
        <v>19.0</v>
      </c>
      <c r="O23" s="18">
        <v>18.0</v>
      </c>
      <c r="P23" s="20" t="s">
        <v>106</v>
      </c>
    </row>
    <row r="24">
      <c r="A24" s="10">
        <v>45.0</v>
      </c>
      <c r="B24" s="10" t="s">
        <v>44</v>
      </c>
      <c r="C24" s="11" t="s">
        <v>19</v>
      </c>
      <c r="D24" s="21">
        <v>0.85</v>
      </c>
      <c r="E24" s="21">
        <v>0.72</v>
      </c>
      <c r="F24" s="24">
        <v>0.8</v>
      </c>
      <c r="G24" s="24">
        <v>0.66</v>
      </c>
      <c r="H24" s="24">
        <v>0.85</v>
      </c>
      <c r="I24" s="24">
        <v>0.93</v>
      </c>
      <c r="J24" s="57">
        <f>AVERAGE(E24:I24)</f>
        <v>0.792</v>
      </c>
      <c r="K24" s="15">
        <f t="shared" si="2"/>
        <v>0.9317647059</v>
      </c>
      <c r="L24" s="22">
        <f>K24</f>
        <v>0.9317647059</v>
      </c>
      <c r="M24" s="59">
        <f>K24</f>
        <v>0.9317647059</v>
      </c>
      <c r="N24" s="18">
        <v>30.0</v>
      </c>
      <c r="O24" s="18">
        <v>30.0</v>
      </c>
      <c r="P24" s="20" t="s">
        <v>106</v>
      </c>
    </row>
    <row r="25">
      <c r="A25" s="35"/>
      <c r="B25" s="35"/>
      <c r="C25" s="35"/>
      <c r="D25" s="36"/>
      <c r="E25" s="37"/>
      <c r="F25" s="38"/>
      <c r="G25" s="38"/>
      <c r="H25" s="36"/>
      <c r="I25" s="38"/>
      <c r="J25" s="37"/>
      <c r="K25" s="39"/>
      <c r="L25" s="40"/>
      <c r="M25" s="41"/>
      <c r="N25" s="38"/>
      <c r="O25" s="38"/>
    </row>
    <row r="26" ht="15.0" customHeight="1">
      <c r="A26" s="1" t="s">
        <v>0</v>
      </c>
      <c r="B26" s="42" t="s">
        <v>108</v>
      </c>
    </row>
    <row r="27" ht="10.5" customHeight="1">
      <c r="A27" s="3"/>
    </row>
    <row r="28">
      <c r="A28" s="3"/>
    </row>
    <row r="29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>
      <c r="A30" s="5" t="s">
        <v>2</v>
      </c>
      <c r="B30" s="5" t="s">
        <v>3</v>
      </c>
      <c r="C30" s="5" t="s">
        <v>4</v>
      </c>
      <c r="D30" s="6" t="s">
        <v>5</v>
      </c>
      <c r="E30" s="7" t="s">
        <v>6</v>
      </c>
      <c r="F30" s="4"/>
      <c r="G30" s="4"/>
      <c r="H30" s="4"/>
      <c r="I30" s="8"/>
      <c r="J30" s="6" t="s">
        <v>7</v>
      </c>
      <c r="K30" s="6" t="s">
        <v>8</v>
      </c>
      <c r="L30" s="6" t="s">
        <v>9</v>
      </c>
      <c r="M30" s="6" t="s">
        <v>10</v>
      </c>
      <c r="N30" s="6" t="s">
        <v>11</v>
      </c>
      <c r="O30" s="6" t="s">
        <v>12</v>
      </c>
    </row>
    <row r="31">
      <c r="A31" s="8"/>
      <c r="B31" s="8"/>
      <c r="C31" s="8"/>
      <c r="D31" s="8"/>
      <c r="E31" s="9" t="s">
        <v>13</v>
      </c>
      <c r="F31" s="9" t="s">
        <v>14</v>
      </c>
      <c r="G31" s="9" t="s">
        <v>15</v>
      </c>
      <c r="H31" s="9" t="s">
        <v>16</v>
      </c>
      <c r="I31" s="9" t="s">
        <v>17</v>
      </c>
      <c r="J31" s="8"/>
      <c r="K31" s="8"/>
      <c r="L31" s="8"/>
      <c r="M31" s="8"/>
      <c r="N31" s="8"/>
      <c r="O31" s="8"/>
    </row>
    <row r="32">
      <c r="A32" s="10">
        <v>95.0</v>
      </c>
      <c r="B32" s="11" t="s">
        <v>18</v>
      </c>
      <c r="C32" s="11" t="s">
        <v>19</v>
      </c>
      <c r="D32" s="19">
        <v>9.025E8</v>
      </c>
      <c r="E32" s="12">
        <v>1.2653204195E8</v>
      </c>
      <c r="F32" s="12">
        <v>1.5444642488E8</v>
      </c>
      <c r="G32" s="12">
        <f>182404044.11+45948203.06</f>
        <v>228352247.2</v>
      </c>
      <c r="H32" s="13">
        <f>53304408+37674217+47267905+45958300+150079460</f>
        <v>334284290</v>
      </c>
      <c r="I32" s="13"/>
      <c r="J32" s="14">
        <f t="shared" ref="J32:J34" si="14">SUM(E32:I32)</f>
        <v>843615004</v>
      </c>
      <c r="K32" s="15">
        <f t="shared" ref="K32:K35" si="15">J32/D32</f>
        <v>0.934753467</v>
      </c>
      <c r="L32" s="16">
        <f t="shared" ref="L32:L34" si="16">J32/O32*N32</f>
        <v>843615004</v>
      </c>
      <c r="M32" s="59">
        <f t="shared" ref="M32:M34" si="17">L32/D32</f>
        <v>0.934753467</v>
      </c>
      <c r="N32" s="18">
        <v>19.0</v>
      </c>
      <c r="O32" s="19">
        <v>19.0</v>
      </c>
      <c r="P32" s="20" t="s">
        <v>101</v>
      </c>
    </row>
    <row r="33">
      <c r="A33" s="10">
        <v>6.0</v>
      </c>
      <c r="B33" s="11" t="s">
        <v>21</v>
      </c>
      <c r="C33" s="11" t="s">
        <v>19</v>
      </c>
      <c r="D33" s="19">
        <v>7.2E7</v>
      </c>
      <c r="E33" s="12">
        <v>7926649.12</v>
      </c>
      <c r="F33" s="12">
        <v>1.057170747E7</v>
      </c>
      <c r="G33" s="12">
        <f>11227462.08+5375408.33</f>
        <v>16602870.41</v>
      </c>
      <c r="H33" s="13">
        <f>5051723+4224614+2785752+8015367+11412006</f>
        <v>31489462</v>
      </c>
      <c r="I33" s="12"/>
      <c r="J33" s="14">
        <f t="shared" si="14"/>
        <v>66590689</v>
      </c>
      <c r="K33" s="15">
        <f t="shared" si="15"/>
        <v>0.9248706806</v>
      </c>
      <c r="L33" s="16">
        <f t="shared" si="16"/>
        <v>66590689</v>
      </c>
      <c r="M33" s="59">
        <f t="shared" si="17"/>
        <v>0.9248706806</v>
      </c>
      <c r="N33" s="18">
        <v>19.0</v>
      </c>
      <c r="O33" s="19">
        <v>19.0</v>
      </c>
      <c r="P33" s="20" t="s">
        <v>101</v>
      </c>
    </row>
    <row r="34">
      <c r="A34" s="10">
        <v>64.0</v>
      </c>
      <c r="B34" s="10" t="s">
        <v>22</v>
      </c>
      <c r="C34" s="11" t="s">
        <v>19</v>
      </c>
      <c r="D34" s="19">
        <v>3.5E8</v>
      </c>
      <c r="E34" s="12">
        <v>5.1487501E7</v>
      </c>
      <c r="F34" s="12">
        <v>4.6938E7</v>
      </c>
      <c r="G34" s="12">
        <v>5.0256E7</v>
      </c>
      <c r="H34" s="12">
        <v>5.8459E7</v>
      </c>
      <c r="I34" s="12"/>
      <c r="J34" s="14">
        <f t="shared" si="14"/>
        <v>207140501</v>
      </c>
      <c r="K34" s="15">
        <f t="shared" si="15"/>
        <v>0.5918300029</v>
      </c>
      <c r="L34" s="16">
        <f t="shared" si="16"/>
        <v>207140501</v>
      </c>
      <c r="M34" s="59">
        <f t="shared" si="17"/>
        <v>0.5918300029</v>
      </c>
      <c r="N34" s="18">
        <v>19.0</v>
      </c>
      <c r="O34" s="19">
        <v>19.0</v>
      </c>
      <c r="P34" s="20" t="s">
        <v>101</v>
      </c>
    </row>
    <row r="35">
      <c r="A35" s="10">
        <v>2.0</v>
      </c>
      <c r="B35" s="10" t="s">
        <v>24</v>
      </c>
      <c r="C35" s="10" t="s">
        <v>68</v>
      </c>
      <c r="D35" s="21">
        <v>1.0</v>
      </c>
      <c r="E35" s="21">
        <v>1.5771</v>
      </c>
      <c r="F35" s="21">
        <v>1.5771</v>
      </c>
      <c r="G35" s="21">
        <v>1.6</v>
      </c>
      <c r="H35" s="21">
        <v>1.6317</v>
      </c>
      <c r="I35" s="21"/>
      <c r="J35" s="57">
        <f t="shared" ref="J35:J36" si="18">H35</f>
        <v>1.6317</v>
      </c>
      <c r="K35" s="15">
        <f t="shared" si="15"/>
        <v>1.6317</v>
      </c>
      <c r="L35" s="58">
        <f>K35</f>
        <v>1.6317</v>
      </c>
      <c r="M35" s="59">
        <f t="shared" ref="M35:M36" si="20">K35</f>
        <v>1.6317</v>
      </c>
      <c r="N35" s="18">
        <v>19.0</v>
      </c>
      <c r="O35" s="19">
        <v>19.0</v>
      </c>
      <c r="P35" s="20" t="s">
        <v>101</v>
      </c>
    </row>
    <row r="36">
      <c r="A36" s="10">
        <v>10.0</v>
      </c>
      <c r="B36" s="10" t="s">
        <v>25</v>
      </c>
      <c r="C36" s="11" t="s">
        <v>26</v>
      </c>
      <c r="D36" s="21">
        <v>0.8</v>
      </c>
      <c r="E36" s="21">
        <v>0.5702</v>
      </c>
      <c r="F36" s="21">
        <v>0.4687</v>
      </c>
      <c r="G36" s="21">
        <v>0.8825</v>
      </c>
      <c r="H36" s="24">
        <v>1.1651</v>
      </c>
      <c r="I36" s="24"/>
      <c r="J36" s="57">
        <f t="shared" si="18"/>
        <v>1.1651</v>
      </c>
      <c r="K36" s="15">
        <f t="shared" ref="K36:L36" si="19">J36</f>
        <v>1.1651</v>
      </c>
      <c r="L36" s="58">
        <f t="shared" si="19"/>
        <v>1.1651</v>
      </c>
      <c r="M36" s="78">
        <f t="shared" si="20"/>
        <v>1.1651</v>
      </c>
      <c r="N36" s="18">
        <v>19.0</v>
      </c>
      <c r="O36" s="19">
        <v>19.0</v>
      </c>
      <c r="P36" s="20" t="s">
        <v>101</v>
      </c>
    </row>
    <row r="37">
      <c r="A37" s="10">
        <v>26.0</v>
      </c>
      <c r="B37" s="10" t="s">
        <v>27</v>
      </c>
      <c r="C37" s="10" t="s">
        <v>109</v>
      </c>
      <c r="D37" s="19">
        <v>763.0</v>
      </c>
      <c r="E37" s="18">
        <v>200.0</v>
      </c>
      <c r="F37" s="18">
        <v>114.0</v>
      </c>
      <c r="G37" s="18">
        <v>172.0</v>
      </c>
      <c r="H37" s="18">
        <v>260.0</v>
      </c>
      <c r="I37" s="29"/>
      <c r="J37" s="45">
        <f t="shared" ref="J37:J39" si="21">sum(E37:I37)</f>
        <v>746</v>
      </c>
      <c r="K37" s="15">
        <f t="shared" ref="K37:K49" si="22">J37/D37</f>
        <v>0.9777195282</v>
      </c>
      <c r="L37" s="16">
        <f t="shared" ref="L37:L41" si="23">J37/O37*N37</f>
        <v>746</v>
      </c>
      <c r="M37" s="59">
        <f t="shared" ref="M37:M49" si="24">L37/D37</f>
        <v>0.9777195282</v>
      </c>
      <c r="N37" s="18">
        <v>19.0</v>
      </c>
      <c r="O37" s="60">
        <v>19.0</v>
      </c>
      <c r="P37" s="20" t="s">
        <v>103</v>
      </c>
    </row>
    <row r="38">
      <c r="A38" s="10">
        <v>15.0</v>
      </c>
      <c r="B38" s="10" t="s">
        <v>29</v>
      </c>
      <c r="C38" s="10" t="s">
        <v>110</v>
      </c>
      <c r="D38" s="12">
        <v>1.004E7</v>
      </c>
      <c r="E38" s="19">
        <v>2083000.0</v>
      </c>
      <c r="F38" s="12">
        <v>1342000.0</v>
      </c>
      <c r="G38" s="19">
        <v>2666000.0</v>
      </c>
      <c r="H38" s="19">
        <v>3112000.0</v>
      </c>
      <c r="I38" s="19"/>
      <c r="J38" s="30">
        <f t="shared" si="21"/>
        <v>9203000</v>
      </c>
      <c r="K38" s="15">
        <f t="shared" si="22"/>
        <v>0.9166334661</v>
      </c>
      <c r="L38" s="16">
        <f t="shared" si="23"/>
        <v>9203000</v>
      </c>
      <c r="M38" s="59">
        <f t="shared" si="24"/>
        <v>0.9166334661</v>
      </c>
      <c r="N38" s="62">
        <v>19.0</v>
      </c>
      <c r="O38" s="76">
        <v>19.0</v>
      </c>
      <c r="P38" s="20" t="s">
        <v>103</v>
      </c>
    </row>
    <row r="39">
      <c r="A39" s="10">
        <v>35.0</v>
      </c>
      <c r="B39" s="10" t="s">
        <v>31</v>
      </c>
      <c r="C39" s="10" t="s">
        <v>109</v>
      </c>
      <c r="D39" s="14">
        <f t="shared" ref="D39:I39" si="25">D14</f>
        <v>238092287.7</v>
      </c>
      <c r="E39" s="14">
        <f t="shared" si="25"/>
        <v>41202364</v>
      </c>
      <c r="F39" s="14">
        <f t="shared" si="25"/>
        <v>46503219</v>
      </c>
      <c r="G39" s="14">
        <f t="shared" si="25"/>
        <v>78562314</v>
      </c>
      <c r="H39" s="14">
        <f t="shared" si="25"/>
        <v>80020907</v>
      </c>
      <c r="I39" s="14">
        <f t="shared" si="25"/>
        <v>16319331</v>
      </c>
      <c r="J39" s="14">
        <f t="shared" si="21"/>
        <v>262608135</v>
      </c>
      <c r="K39" s="15">
        <f t="shared" si="22"/>
        <v>1.102967835</v>
      </c>
      <c r="L39" s="16">
        <f t="shared" si="23"/>
        <v>262608135</v>
      </c>
      <c r="M39" s="59">
        <f t="shared" si="24"/>
        <v>1.102967835</v>
      </c>
      <c r="N39" s="70">
        <f t="shared" ref="N39:P39" si="26">N14</f>
        <v>19</v>
      </c>
      <c r="O39" s="66">
        <f t="shared" si="26"/>
        <v>19</v>
      </c>
      <c r="P39" s="71" t="str">
        <f t="shared" si="26"/>
        <v>as of June 30, 2025-FINAL</v>
      </c>
    </row>
    <row r="40">
      <c r="A40" s="10">
        <v>102.0</v>
      </c>
      <c r="B40" s="11" t="s">
        <v>32</v>
      </c>
      <c r="C40" s="10" t="s">
        <v>76</v>
      </c>
      <c r="D40" s="19">
        <f>D15</f>
        <v>22032</v>
      </c>
      <c r="E40" s="18">
        <v>7113.0</v>
      </c>
      <c r="F40" s="18">
        <f>1480+1739</f>
        <v>3219</v>
      </c>
      <c r="G40" s="18">
        <f>G15</f>
        <v>3426</v>
      </c>
      <c r="H40" s="18">
        <f>2442+34</f>
        <v>2476</v>
      </c>
      <c r="I40" s="33"/>
      <c r="J40" s="45">
        <f t="shared" ref="J40:J48" si="27">SUM(E40:I40)</f>
        <v>16234</v>
      </c>
      <c r="K40" s="15">
        <f t="shared" si="22"/>
        <v>0.7368373275</v>
      </c>
      <c r="L40" s="16">
        <f t="shared" si="23"/>
        <v>16234</v>
      </c>
      <c r="M40" s="59">
        <f t="shared" si="24"/>
        <v>0.7368373275</v>
      </c>
      <c r="N40" s="62">
        <v>19.0</v>
      </c>
      <c r="O40" s="77">
        <v>19.0</v>
      </c>
      <c r="P40" s="71" t="str">
        <f>P15</f>
        <v>As of June 30, 2025</v>
      </c>
    </row>
    <row r="41">
      <c r="A41" s="10">
        <v>10.0</v>
      </c>
      <c r="B41" s="10" t="s">
        <v>72</v>
      </c>
      <c r="C41" s="10" t="s">
        <v>76</v>
      </c>
      <c r="D41" s="19">
        <v>2100.0</v>
      </c>
      <c r="E41" s="18">
        <f>411+201+92</f>
        <v>704</v>
      </c>
      <c r="F41" s="18">
        <f>200+413</f>
        <v>613</v>
      </c>
      <c r="G41" s="18">
        <v>352.0</v>
      </c>
      <c r="H41" s="18">
        <f>236+27</f>
        <v>263</v>
      </c>
      <c r="I41" s="33"/>
      <c r="J41" s="45">
        <f t="shared" si="27"/>
        <v>1932</v>
      </c>
      <c r="K41" s="15">
        <f t="shared" si="22"/>
        <v>0.92</v>
      </c>
      <c r="L41" s="16">
        <f t="shared" si="23"/>
        <v>1932</v>
      </c>
      <c r="M41" s="59">
        <f t="shared" si="24"/>
        <v>0.92</v>
      </c>
      <c r="N41" s="62">
        <v>19.0</v>
      </c>
      <c r="O41" s="63">
        <v>19.0</v>
      </c>
      <c r="P41" s="85" t="str">
        <f>P40</f>
        <v>As of June 30, 2025</v>
      </c>
    </row>
    <row r="42">
      <c r="A42" s="10">
        <v>39.0</v>
      </c>
      <c r="B42" s="11" t="s">
        <v>35</v>
      </c>
      <c r="C42" s="11" t="s">
        <v>19</v>
      </c>
      <c r="D42" s="19">
        <f t="shared" ref="D42:I42" si="28">D17</f>
        <v>472327869</v>
      </c>
      <c r="E42" s="19">
        <f t="shared" si="28"/>
        <v>106165000</v>
      </c>
      <c r="F42" s="19">
        <f t="shared" si="28"/>
        <v>154256000</v>
      </c>
      <c r="G42" s="19">
        <f t="shared" si="28"/>
        <v>197747000</v>
      </c>
      <c r="H42" s="19">
        <f t="shared" si="28"/>
        <v>205619097</v>
      </c>
      <c r="I42" s="46">
        <f t="shared" si="28"/>
        <v>55509000</v>
      </c>
      <c r="J42" s="30">
        <f t="shared" si="27"/>
        <v>719296097</v>
      </c>
      <c r="K42" s="15">
        <f t="shared" si="22"/>
        <v>1.522874563</v>
      </c>
      <c r="L42" s="16">
        <f t="shared" ref="L42:L45" si="31">L17</f>
        <v>719296097</v>
      </c>
      <c r="M42" s="59">
        <f t="shared" si="24"/>
        <v>1.522874563</v>
      </c>
      <c r="N42" s="18">
        <f t="shared" ref="N42:P42" si="29">N17</f>
        <v>20</v>
      </c>
      <c r="O42" s="18">
        <f t="shared" si="29"/>
        <v>20</v>
      </c>
      <c r="P42" s="20" t="str">
        <f t="shared" si="29"/>
        <v>June 30, 2025-FINAL</v>
      </c>
    </row>
    <row r="43">
      <c r="A43" s="10">
        <v>11.0</v>
      </c>
      <c r="B43" s="11" t="s">
        <v>37</v>
      </c>
      <c r="C43" s="11" t="s">
        <v>19</v>
      </c>
      <c r="D43" s="19">
        <v>1700.0</v>
      </c>
      <c r="E43" s="19">
        <f t="shared" ref="E43:I43" si="30">E18</f>
        <v>229</v>
      </c>
      <c r="F43" s="19">
        <f t="shared" si="30"/>
        <v>219</v>
      </c>
      <c r="G43" s="19">
        <f t="shared" si="30"/>
        <v>242</v>
      </c>
      <c r="H43" s="19">
        <f t="shared" si="30"/>
        <v>352</v>
      </c>
      <c r="I43" s="46">
        <f t="shared" si="30"/>
        <v>58</v>
      </c>
      <c r="J43" s="30">
        <f t="shared" si="27"/>
        <v>1100</v>
      </c>
      <c r="K43" s="15">
        <f t="shared" si="22"/>
        <v>0.6470588235</v>
      </c>
      <c r="L43" s="16">
        <f t="shared" si="31"/>
        <v>1100</v>
      </c>
      <c r="M43" s="59">
        <f t="shared" si="24"/>
        <v>0.6470588235</v>
      </c>
      <c r="N43" s="18">
        <f t="shared" ref="N43:P43" si="32">N18</f>
        <v>20</v>
      </c>
      <c r="O43" s="18">
        <f t="shared" si="32"/>
        <v>20</v>
      </c>
      <c r="P43" s="20" t="str">
        <f t="shared" si="32"/>
        <v>June 30, 2025-FINAL</v>
      </c>
    </row>
    <row r="44">
      <c r="A44" s="10">
        <v>5.0</v>
      </c>
      <c r="B44" s="11" t="s">
        <v>38</v>
      </c>
      <c r="C44" s="11" t="s">
        <v>19</v>
      </c>
      <c r="D44" s="19">
        <f t="shared" ref="D44:I44" si="33">D19</f>
        <v>550</v>
      </c>
      <c r="E44" s="19">
        <f t="shared" si="33"/>
        <v>100</v>
      </c>
      <c r="F44" s="19">
        <f t="shared" si="33"/>
        <v>89</v>
      </c>
      <c r="G44" s="19">
        <f t="shared" si="33"/>
        <v>259</v>
      </c>
      <c r="H44" s="19">
        <f t="shared" si="33"/>
        <v>541</v>
      </c>
      <c r="I44" s="46">
        <f t="shared" si="33"/>
        <v>74</v>
      </c>
      <c r="J44" s="30">
        <f t="shared" si="27"/>
        <v>1063</v>
      </c>
      <c r="K44" s="15">
        <f t="shared" si="22"/>
        <v>1.932727273</v>
      </c>
      <c r="L44" s="16">
        <f t="shared" si="31"/>
        <v>1063</v>
      </c>
      <c r="M44" s="59">
        <f t="shared" si="24"/>
        <v>1.932727273</v>
      </c>
      <c r="N44" s="18">
        <f t="shared" ref="N44:P44" si="34">N19</f>
        <v>20</v>
      </c>
      <c r="O44" s="18">
        <f t="shared" si="34"/>
        <v>20</v>
      </c>
      <c r="P44" s="20" t="str">
        <f t="shared" si="34"/>
        <v>June 30, 2025-FINAL</v>
      </c>
    </row>
    <row r="45">
      <c r="A45" s="10">
        <v>20.0</v>
      </c>
      <c r="B45" s="10" t="s">
        <v>39</v>
      </c>
      <c r="C45" s="11" t="s">
        <v>19</v>
      </c>
      <c r="D45" s="19">
        <v>3400.0</v>
      </c>
      <c r="E45" s="19">
        <f t="shared" ref="E45:I45" si="35">E20</f>
        <v>662</v>
      </c>
      <c r="F45" s="19">
        <f t="shared" si="35"/>
        <v>667</v>
      </c>
      <c r="G45" s="19">
        <f t="shared" si="35"/>
        <v>878</v>
      </c>
      <c r="H45" s="19">
        <f t="shared" si="35"/>
        <v>1263</v>
      </c>
      <c r="I45" s="46">
        <f t="shared" si="35"/>
        <v>178</v>
      </c>
      <c r="J45" s="30">
        <f t="shared" si="27"/>
        <v>3648</v>
      </c>
      <c r="K45" s="15">
        <f t="shared" si="22"/>
        <v>1.072941176</v>
      </c>
      <c r="L45" s="16">
        <f t="shared" si="31"/>
        <v>3648</v>
      </c>
      <c r="M45" s="59">
        <f t="shared" si="24"/>
        <v>1.072941176</v>
      </c>
      <c r="N45" s="18">
        <f t="shared" ref="N45:P45" si="36">N20</f>
        <v>20</v>
      </c>
      <c r="O45" s="18">
        <f t="shared" si="36"/>
        <v>20</v>
      </c>
      <c r="P45" s="20" t="str">
        <f t="shared" si="36"/>
        <v>June 30, 2025-FINAL</v>
      </c>
    </row>
    <row r="46">
      <c r="A46" s="10">
        <v>15.0</v>
      </c>
      <c r="B46" s="10" t="s">
        <v>77</v>
      </c>
      <c r="C46" s="11" t="s">
        <v>19</v>
      </c>
      <c r="D46" s="12">
        <v>280.0</v>
      </c>
      <c r="E46" s="19">
        <v>30.0</v>
      </c>
      <c r="F46" s="29">
        <v>50.0</v>
      </c>
      <c r="G46" s="29">
        <v>89.0</v>
      </c>
      <c r="H46" s="29">
        <v>74.0</v>
      </c>
      <c r="I46" s="29">
        <v>9.0</v>
      </c>
      <c r="J46" s="30">
        <f t="shared" si="27"/>
        <v>252</v>
      </c>
      <c r="K46" s="15">
        <f t="shared" si="22"/>
        <v>0.9</v>
      </c>
      <c r="L46" s="16">
        <f t="shared" ref="L46:L48" si="38">J46/O46*N46</f>
        <v>252</v>
      </c>
      <c r="M46" s="59">
        <f t="shared" si="24"/>
        <v>0.9</v>
      </c>
      <c r="N46" s="18">
        <f t="shared" ref="N46:P46" si="37">N21</f>
        <v>19</v>
      </c>
      <c r="O46" s="18">
        <f t="shared" si="37"/>
        <v>19</v>
      </c>
      <c r="P46" s="86" t="str">
        <f t="shared" si="37"/>
        <v>as of June 30, 2025 - FINAL</v>
      </c>
    </row>
    <row r="47">
      <c r="A47" s="10">
        <v>21.0</v>
      </c>
      <c r="B47" s="10" t="s">
        <v>73</v>
      </c>
      <c r="C47" s="11" t="s">
        <v>19</v>
      </c>
      <c r="D47" s="12">
        <v>1436.0</v>
      </c>
      <c r="E47" s="19">
        <v>10.0</v>
      </c>
      <c r="F47" s="29">
        <v>400.0</v>
      </c>
      <c r="G47" s="29">
        <v>292.0</v>
      </c>
      <c r="H47" s="87">
        <v>270.0</v>
      </c>
      <c r="I47" s="88">
        <v>464.0</v>
      </c>
      <c r="J47" s="30">
        <f t="shared" si="27"/>
        <v>1436</v>
      </c>
      <c r="K47" s="15">
        <f t="shared" si="22"/>
        <v>1</v>
      </c>
      <c r="L47" s="16">
        <f t="shared" si="38"/>
        <v>1436</v>
      </c>
      <c r="M47" s="59">
        <f t="shared" si="24"/>
        <v>1</v>
      </c>
      <c r="N47" s="18">
        <v>19.0</v>
      </c>
      <c r="O47" s="18">
        <v>19.0</v>
      </c>
      <c r="P47" s="86" t="s">
        <v>106</v>
      </c>
    </row>
    <row r="48">
      <c r="A48" s="10">
        <v>1.0</v>
      </c>
      <c r="B48" s="10" t="s">
        <v>43</v>
      </c>
      <c r="C48" s="11" t="s">
        <v>19</v>
      </c>
      <c r="D48" s="12">
        <v>30.0</v>
      </c>
      <c r="E48" s="12">
        <v>6.0</v>
      </c>
      <c r="F48" s="12">
        <v>10.0</v>
      </c>
      <c r="G48" s="12">
        <v>12.0</v>
      </c>
      <c r="H48" s="12">
        <v>11.0</v>
      </c>
      <c r="I48" s="12">
        <v>2.0</v>
      </c>
      <c r="J48" s="14">
        <f t="shared" si="27"/>
        <v>41</v>
      </c>
      <c r="K48" s="15">
        <f t="shared" si="22"/>
        <v>1.366666667</v>
      </c>
      <c r="L48" s="16">
        <f t="shared" si="38"/>
        <v>43.27777778</v>
      </c>
      <c r="M48" s="59">
        <f t="shared" si="24"/>
        <v>1.442592593</v>
      </c>
      <c r="N48" s="18">
        <v>19.0</v>
      </c>
      <c r="O48" s="18">
        <f t="shared" ref="O48:P48" si="39">O23</f>
        <v>18</v>
      </c>
      <c r="P48" s="68" t="str">
        <f t="shared" si="39"/>
        <v>as of June 30, 2025 - FINAL</v>
      </c>
    </row>
    <row r="49">
      <c r="A49" s="10">
        <v>45.0</v>
      </c>
      <c r="B49" s="10" t="s">
        <v>44</v>
      </c>
      <c r="C49" s="11" t="s">
        <v>19</v>
      </c>
      <c r="D49" s="21">
        <v>0.85</v>
      </c>
      <c r="E49" s="21">
        <v>0.72</v>
      </c>
      <c r="F49" s="24">
        <v>0.8</v>
      </c>
      <c r="G49" s="24">
        <v>0.66</v>
      </c>
      <c r="H49" s="24">
        <v>0.85</v>
      </c>
      <c r="I49" s="24">
        <v>0.93</v>
      </c>
      <c r="J49" s="57">
        <f>AVERAGE(E49:I49)</f>
        <v>0.792</v>
      </c>
      <c r="K49" s="15">
        <f t="shared" si="22"/>
        <v>0.9317647059</v>
      </c>
      <c r="L49" s="73">
        <f>J49</f>
        <v>0.792</v>
      </c>
      <c r="M49" s="59">
        <f t="shared" si="24"/>
        <v>0.9317647059</v>
      </c>
      <c r="N49" s="18">
        <v>30.0</v>
      </c>
      <c r="O49" s="18">
        <f t="shared" ref="O49:P49" si="40">O24</f>
        <v>30</v>
      </c>
      <c r="P49" s="68" t="str">
        <f t="shared" si="40"/>
        <v>as of June 30, 2025 - FINAL</v>
      </c>
    </row>
    <row r="50">
      <c r="A50" s="47"/>
      <c r="B50" s="48"/>
      <c r="C50" s="47"/>
      <c r="D50" s="49"/>
      <c r="E50" s="49"/>
      <c r="F50" s="50"/>
      <c r="G50" s="38"/>
      <c r="H50" s="36"/>
      <c r="I50" s="50"/>
      <c r="J50" s="50"/>
      <c r="K50" s="51"/>
      <c r="L50" s="52"/>
      <c r="M50" s="53"/>
      <c r="N50" s="54"/>
      <c r="O50" s="54"/>
    </row>
    <row r="51">
      <c r="A51" s="35"/>
      <c r="B51" s="35"/>
      <c r="C51" s="35"/>
      <c r="D51" s="38"/>
      <c r="E51" s="38"/>
      <c r="F51" s="38"/>
      <c r="G51" s="38"/>
      <c r="H51" s="38"/>
      <c r="I51" s="38"/>
      <c r="J51" s="38"/>
      <c r="K51" s="38"/>
      <c r="L51" s="38"/>
      <c r="M51" s="74"/>
      <c r="N51" s="38"/>
      <c r="O51" s="38"/>
    </row>
    <row r="52">
      <c r="A52" s="35"/>
      <c r="B52" s="35"/>
      <c r="C52" s="35"/>
      <c r="D52" s="38"/>
      <c r="E52" s="38"/>
      <c r="F52" s="36"/>
      <c r="G52" s="38"/>
      <c r="H52" s="38"/>
      <c r="I52" s="38"/>
      <c r="J52" s="55"/>
      <c r="K52" s="56"/>
      <c r="L52" s="38"/>
      <c r="M52" s="38"/>
      <c r="N52" s="38"/>
      <c r="O52" s="38"/>
    </row>
    <row r="53">
      <c r="A53" s="35"/>
      <c r="B53" s="35"/>
      <c r="C53" s="35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</row>
    <row r="54">
      <c r="A54" s="35"/>
      <c r="C54" s="35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</row>
    <row r="55">
      <c r="A55" s="35"/>
      <c r="B55" s="35"/>
      <c r="C55" s="35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</row>
    <row r="56">
      <c r="A56" s="35"/>
      <c r="B56" s="35"/>
      <c r="C56" s="35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</row>
    <row r="57">
      <c r="A57" s="35"/>
      <c r="B57" s="35"/>
      <c r="C57" s="35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</row>
    <row r="58">
      <c r="A58" s="35"/>
      <c r="B58" s="35"/>
      <c r="C58" s="35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</row>
    <row r="59">
      <c r="A59" s="35"/>
      <c r="B59" s="35"/>
      <c r="C59" s="35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</row>
    <row r="60">
      <c r="A60" s="35"/>
      <c r="B60" s="35"/>
      <c r="C60" s="35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</row>
    <row r="61">
      <c r="A61" s="35"/>
      <c r="B61" s="35"/>
      <c r="C61" s="35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</row>
    <row r="62">
      <c r="A62" s="35"/>
      <c r="B62" s="35"/>
      <c r="C62" s="35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</row>
    <row r="63">
      <c r="A63" s="35"/>
      <c r="B63" s="35"/>
      <c r="C63" s="35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</row>
    <row r="64">
      <c r="A64" s="35"/>
      <c r="B64" s="35"/>
      <c r="C64" s="35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</row>
    <row r="65">
      <c r="A65" s="35"/>
      <c r="B65" s="35"/>
      <c r="C65" s="35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</row>
    <row r="66">
      <c r="A66" s="35"/>
      <c r="B66" s="35"/>
      <c r="C66" s="35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</row>
    <row r="67">
      <c r="A67" s="35"/>
      <c r="B67" s="35"/>
      <c r="C67" s="35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</row>
    <row r="68">
      <c r="A68" s="35"/>
      <c r="B68" s="35"/>
      <c r="C68" s="35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</row>
    <row r="69">
      <c r="A69" s="35"/>
      <c r="B69" s="35"/>
      <c r="C69" s="35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</row>
    <row r="70">
      <c r="A70" s="35"/>
      <c r="B70" s="35"/>
      <c r="C70" s="35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</row>
    <row r="71">
      <c r="A71" s="35"/>
      <c r="B71" s="35"/>
      <c r="C71" s="35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</row>
    <row r="72">
      <c r="A72" s="35"/>
      <c r="B72" s="35"/>
      <c r="C72" s="35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</row>
    <row r="73">
      <c r="A73" s="35"/>
      <c r="B73" s="35"/>
      <c r="C73" s="35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</row>
    <row r="74">
      <c r="A74" s="35"/>
      <c r="B74" s="35"/>
      <c r="C74" s="35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</row>
    <row r="75">
      <c r="A75" s="35"/>
      <c r="B75" s="35"/>
      <c r="C75" s="35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</row>
    <row r="76">
      <c r="A76" s="35"/>
      <c r="B76" s="35"/>
      <c r="C76" s="35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</row>
    <row r="77">
      <c r="A77" s="35"/>
      <c r="B77" s="35"/>
      <c r="C77" s="35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</row>
    <row r="78">
      <c r="A78" s="35"/>
      <c r="B78" s="35"/>
      <c r="C78" s="35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</row>
    <row r="79">
      <c r="A79" s="35"/>
      <c r="B79" s="35"/>
      <c r="C79" s="35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</row>
    <row r="80">
      <c r="A80" s="35"/>
      <c r="B80" s="35"/>
      <c r="C80" s="35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</row>
    <row r="81">
      <c r="A81" s="35"/>
      <c r="B81" s="35"/>
      <c r="C81" s="35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</row>
    <row r="82">
      <c r="A82" s="35"/>
      <c r="B82" s="35"/>
      <c r="C82" s="35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</row>
    <row r="83">
      <c r="A83" s="35"/>
      <c r="B83" s="35"/>
      <c r="C83" s="35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</row>
    <row r="84">
      <c r="A84" s="35"/>
      <c r="B84" s="35"/>
      <c r="C84" s="35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</row>
    <row r="85">
      <c r="A85" s="35"/>
      <c r="B85" s="35"/>
      <c r="C85" s="35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</row>
    <row r="86">
      <c r="A86" s="35"/>
      <c r="B86" s="35"/>
      <c r="C86" s="35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</row>
    <row r="87">
      <c r="A87" s="35"/>
      <c r="B87" s="35"/>
      <c r="C87" s="35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</row>
    <row r="88">
      <c r="A88" s="35"/>
      <c r="B88" s="35"/>
      <c r="C88" s="35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</row>
    <row r="89">
      <c r="A89" s="35"/>
      <c r="B89" s="35"/>
      <c r="C89" s="35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</row>
    <row r="90">
      <c r="A90" s="35"/>
      <c r="B90" s="35"/>
      <c r="C90" s="35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</row>
    <row r="91">
      <c r="A91" s="35"/>
      <c r="B91" s="35"/>
      <c r="C91" s="35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</row>
    <row r="92">
      <c r="A92" s="35"/>
      <c r="B92" s="35"/>
      <c r="C92" s="35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</row>
    <row r="93">
      <c r="A93" s="35"/>
      <c r="B93" s="35"/>
      <c r="C93" s="35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</row>
    <row r="94">
      <c r="A94" s="35"/>
      <c r="B94" s="35"/>
      <c r="C94" s="35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</row>
    <row r="95">
      <c r="A95" s="35"/>
      <c r="B95" s="35"/>
      <c r="C95" s="35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</row>
    <row r="96">
      <c r="A96" s="35"/>
      <c r="B96" s="35"/>
      <c r="C96" s="35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</row>
    <row r="97">
      <c r="A97" s="35"/>
      <c r="B97" s="35"/>
      <c r="C97" s="35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</row>
    <row r="98">
      <c r="A98" s="35"/>
      <c r="B98" s="35"/>
      <c r="C98" s="35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</row>
    <row r="99">
      <c r="A99" s="35"/>
      <c r="B99" s="35"/>
      <c r="C99" s="35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</row>
    <row r="100">
      <c r="A100" s="35"/>
      <c r="B100" s="35"/>
      <c r="C100" s="35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</row>
    <row r="101">
      <c r="A101" s="35"/>
      <c r="B101" s="35"/>
      <c r="C101" s="35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</row>
    <row r="102">
      <c r="A102" s="35"/>
      <c r="B102" s="35"/>
      <c r="C102" s="35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</row>
    <row r="103">
      <c r="A103" s="35"/>
      <c r="B103" s="35"/>
      <c r="C103" s="35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</row>
    <row r="104">
      <c r="A104" s="35"/>
      <c r="B104" s="35"/>
      <c r="C104" s="35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</row>
    <row r="105">
      <c r="A105" s="35"/>
      <c r="B105" s="35"/>
      <c r="C105" s="35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</row>
    <row r="106">
      <c r="A106" s="35"/>
      <c r="B106" s="35"/>
      <c r="C106" s="35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</row>
    <row r="107">
      <c r="A107" s="35"/>
      <c r="B107" s="35"/>
      <c r="C107" s="35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</row>
    <row r="108">
      <c r="A108" s="35"/>
      <c r="B108" s="35"/>
      <c r="C108" s="35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</row>
    <row r="109">
      <c r="A109" s="35"/>
      <c r="B109" s="35"/>
      <c r="C109" s="35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</row>
    <row r="110">
      <c r="A110" s="35"/>
      <c r="B110" s="35"/>
      <c r="C110" s="35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</row>
    <row r="111">
      <c r="A111" s="35"/>
      <c r="B111" s="35"/>
      <c r="C111" s="35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</row>
    <row r="112">
      <c r="A112" s="35"/>
      <c r="B112" s="35"/>
      <c r="C112" s="35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</row>
    <row r="113">
      <c r="A113" s="35"/>
      <c r="B113" s="35"/>
      <c r="C113" s="35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</row>
    <row r="114">
      <c r="A114" s="35"/>
      <c r="B114" s="35"/>
      <c r="C114" s="35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</row>
    <row r="115">
      <c r="A115" s="35"/>
      <c r="B115" s="35"/>
      <c r="C115" s="35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</row>
    <row r="116">
      <c r="A116" s="35"/>
      <c r="B116" s="35"/>
      <c r="C116" s="35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</row>
    <row r="117">
      <c r="A117" s="35"/>
      <c r="B117" s="35"/>
      <c r="C117" s="35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</row>
    <row r="118">
      <c r="A118" s="35"/>
      <c r="B118" s="35"/>
      <c r="C118" s="35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</row>
    <row r="119">
      <c r="A119" s="35"/>
      <c r="B119" s="35"/>
      <c r="C119" s="35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</row>
    <row r="120">
      <c r="A120" s="35"/>
      <c r="B120" s="35"/>
      <c r="C120" s="35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</row>
    <row r="121">
      <c r="A121" s="35"/>
      <c r="B121" s="35"/>
      <c r="C121" s="35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</row>
    <row r="122">
      <c r="A122" s="35"/>
      <c r="B122" s="35"/>
      <c r="C122" s="35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</row>
    <row r="123">
      <c r="A123" s="35"/>
      <c r="B123" s="35"/>
      <c r="C123" s="35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</row>
    <row r="124">
      <c r="A124" s="35"/>
      <c r="B124" s="35"/>
      <c r="C124" s="35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</row>
    <row r="125">
      <c r="A125" s="35"/>
      <c r="B125" s="35"/>
      <c r="C125" s="35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</row>
    <row r="126">
      <c r="A126" s="35"/>
      <c r="B126" s="35"/>
      <c r="C126" s="35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</row>
    <row r="127">
      <c r="A127" s="35"/>
      <c r="B127" s="35"/>
      <c r="C127" s="35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</row>
    <row r="128">
      <c r="A128" s="35"/>
      <c r="B128" s="35"/>
      <c r="C128" s="35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</row>
    <row r="129">
      <c r="A129" s="35"/>
      <c r="B129" s="35"/>
      <c r="C129" s="35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</row>
    <row r="130">
      <c r="A130" s="35"/>
      <c r="B130" s="35"/>
      <c r="C130" s="35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</row>
    <row r="131">
      <c r="A131" s="35"/>
      <c r="B131" s="35"/>
      <c r="C131" s="35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</row>
    <row r="132">
      <c r="A132" s="35"/>
      <c r="B132" s="35"/>
      <c r="C132" s="35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</row>
    <row r="133">
      <c r="A133" s="35"/>
      <c r="B133" s="35"/>
      <c r="C133" s="35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</row>
    <row r="134">
      <c r="A134" s="35"/>
      <c r="B134" s="35"/>
      <c r="C134" s="35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</row>
    <row r="135">
      <c r="A135" s="35"/>
      <c r="B135" s="35"/>
      <c r="C135" s="35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</row>
    <row r="136">
      <c r="A136" s="35"/>
      <c r="B136" s="35"/>
      <c r="C136" s="35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</row>
    <row r="137">
      <c r="A137" s="35"/>
      <c r="B137" s="35"/>
      <c r="C137" s="35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</row>
    <row r="138">
      <c r="A138" s="35"/>
      <c r="B138" s="35"/>
      <c r="C138" s="35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</row>
    <row r="139">
      <c r="A139" s="35"/>
      <c r="B139" s="35"/>
      <c r="C139" s="35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</row>
    <row r="140">
      <c r="A140" s="35"/>
      <c r="B140" s="35"/>
      <c r="C140" s="35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</row>
    <row r="141">
      <c r="A141" s="35"/>
      <c r="B141" s="35"/>
      <c r="C141" s="35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</row>
    <row r="142">
      <c r="A142" s="35"/>
      <c r="B142" s="35"/>
      <c r="C142" s="35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</row>
    <row r="143">
      <c r="A143" s="35"/>
      <c r="B143" s="35"/>
      <c r="C143" s="35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</row>
    <row r="144">
      <c r="A144" s="35"/>
      <c r="B144" s="35"/>
      <c r="C144" s="35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</row>
    <row r="145">
      <c r="A145" s="35"/>
      <c r="B145" s="35"/>
      <c r="C145" s="35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</row>
    <row r="146">
      <c r="A146" s="35"/>
      <c r="B146" s="35"/>
      <c r="C146" s="35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</row>
    <row r="147">
      <c r="A147" s="35"/>
      <c r="B147" s="35"/>
      <c r="C147" s="35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</row>
    <row r="148">
      <c r="A148" s="35"/>
      <c r="B148" s="35"/>
      <c r="C148" s="35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</row>
    <row r="149">
      <c r="A149" s="35"/>
      <c r="B149" s="35"/>
      <c r="C149" s="35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</row>
    <row r="150">
      <c r="A150" s="35"/>
      <c r="B150" s="35"/>
      <c r="C150" s="35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</row>
    <row r="151">
      <c r="A151" s="35"/>
      <c r="B151" s="35"/>
      <c r="C151" s="35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</row>
    <row r="152">
      <c r="A152" s="35"/>
      <c r="B152" s="35"/>
      <c r="C152" s="35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</row>
    <row r="153">
      <c r="A153" s="35"/>
      <c r="B153" s="35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</row>
    <row r="154">
      <c r="A154" s="35"/>
      <c r="B154" s="35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</row>
    <row r="155">
      <c r="A155" s="35"/>
      <c r="B155" s="35"/>
      <c r="C155" s="35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</row>
    <row r="156">
      <c r="A156" s="35"/>
      <c r="B156" s="35"/>
      <c r="C156" s="35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</row>
    <row r="157">
      <c r="A157" s="35"/>
      <c r="B157" s="35"/>
      <c r="C157" s="35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</row>
    <row r="158">
      <c r="A158" s="35"/>
      <c r="B158" s="35"/>
      <c r="C158" s="35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</row>
    <row r="159">
      <c r="A159" s="35"/>
      <c r="B159" s="35"/>
      <c r="C159" s="35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</row>
    <row r="160">
      <c r="A160" s="35"/>
      <c r="B160" s="35"/>
      <c r="C160" s="35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</row>
    <row r="161">
      <c r="A161" s="35"/>
      <c r="B161" s="35"/>
      <c r="C161" s="35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</row>
    <row r="162">
      <c r="A162" s="35"/>
      <c r="B162" s="35"/>
      <c r="C162" s="35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</row>
    <row r="163">
      <c r="A163" s="35"/>
      <c r="B163" s="35"/>
      <c r="C163" s="35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</row>
    <row r="164">
      <c r="A164" s="35"/>
      <c r="B164" s="35"/>
      <c r="C164" s="35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</row>
    <row r="165">
      <c r="A165" s="35"/>
      <c r="B165" s="35"/>
      <c r="C165" s="35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</row>
    <row r="166">
      <c r="A166" s="35"/>
      <c r="B166" s="35"/>
      <c r="C166" s="35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</row>
    <row r="167">
      <c r="A167" s="35"/>
      <c r="B167" s="35"/>
      <c r="C167" s="35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</row>
    <row r="168">
      <c r="A168" s="35"/>
      <c r="B168" s="35"/>
      <c r="C168" s="35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</row>
    <row r="169">
      <c r="A169" s="35"/>
      <c r="B169" s="35"/>
      <c r="C169" s="35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</row>
    <row r="170">
      <c r="A170" s="35"/>
      <c r="B170" s="35"/>
      <c r="C170" s="35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</row>
    <row r="171">
      <c r="A171" s="35"/>
      <c r="B171" s="35"/>
      <c r="C171" s="35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</row>
    <row r="172">
      <c r="A172" s="35"/>
      <c r="B172" s="35"/>
      <c r="C172" s="35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</row>
    <row r="173">
      <c r="A173" s="35"/>
      <c r="B173" s="35"/>
      <c r="C173" s="35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</row>
    <row r="174">
      <c r="A174" s="35"/>
      <c r="B174" s="35"/>
      <c r="C174" s="35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</row>
    <row r="175">
      <c r="A175" s="35"/>
      <c r="B175" s="35"/>
      <c r="C175" s="35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</row>
    <row r="176">
      <c r="A176" s="35"/>
      <c r="B176" s="35"/>
      <c r="C176" s="35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</row>
    <row r="177">
      <c r="A177" s="35"/>
      <c r="B177" s="35"/>
      <c r="C177" s="35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</row>
    <row r="178">
      <c r="A178" s="35"/>
      <c r="B178" s="35"/>
      <c r="C178" s="35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</row>
    <row r="179">
      <c r="A179" s="35"/>
      <c r="B179" s="35"/>
      <c r="C179" s="35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</row>
    <row r="180">
      <c r="A180" s="35"/>
      <c r="B180" s="35"/>
      <c r="C180" s="35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</row>
    <row r="181">
      <c r="A181" s="35"/>
      <c r="B181" s="35"/>
      <c r="C181" s="35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</row>
    <row r="182">
      <c r="A182" s="35"/>
      <c r="B182" s="35"/>
      <c r="C182" s="35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</row>
    <row r="183">
      <c r="A183" s="35"/>
      <c r="B183" s="35"/>
      <c r="C183" s="35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</row>
    <row r="184">
      <c r="A184" s="35"/>
      <c r="B184" s="35"/>
      <c r="C184" s="35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</row>
    <row r="185">
      <c r="A185" s="35"/>
      <c r="B185" s="35"/>
      <c r="C185" s="35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</row>
    <row r="186">
      <c r="A186" s="35"/>
      <c r="B186" s="35"/>
      <c r="C186" s="35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</row>
    <row r="187">
      <c r="A187" s="35"/>
      <c r="B187" s="35"/>
      <c r="C187" s="35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</row>
    <row r="188">
      <c r="A188" s="35"/>
      <c r="B188" s="35"/>
      <c r="C188" s="35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</row>
    <row r="189">
      <c r="A189" s="35"/>
      <c r="B189" s="35"/>
      <c r="C189" s="35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</row>
    <row r="190">
      <c r="A190" s="35"/>
      <c r="B190" s="35"/>
      <c r="C190" s="35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</row>
    <row r="191">
      <c r="A191" s="35"/>
      <c r="B191" s="35"/>
      <c r="C191" s="35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</row>
    <row r="192">
      <c r="A192" s="35"/>
      <c r="B192" s="35"/>
      <c r="C192" s="35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</row>
    <row r="193">
      <c r="A193" s="35"/>
      <c r="B193" s="35"/>
      <c r="C193" s="35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</row>
    <row r="194">
      <c r="A194" s="35"/>
      <c r="B194" s="35"/>
      <c r="C194" s="35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</row>
    <row r="195">
      <c r="A195" s="35"/>
      <c r="B195" s="35"/>
      <c r="C195" s="35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</row>
    <row r="196">
      <c r="A196" s="35"/>
      <c r="B196" s="35"/>
      <c r="C196" s="35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</row>
    <row r="197">
      <c r="A197" s="35"/>
      <c r="B197" s="35"/>
      <c r="C197" s="35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</row>
    <row r="198">
      <c r="A198" s="35"/>
      <c r="B198" s="35"/>
      <c r="C198" s="35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</row>
    <row r="199">
      <c r="A199" s="35"/>
      <c r="B199" s="35"/>
      <c r="C199" s="35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</row>
    <row r="200">
      <c r="A200" s="35"/>
      <c r="B200" s="35"/>
      <c r="C200" s="35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</row>
    <row r="201">
      <c r="A201" s="35"/>
      <c r="B201" s="35"/>
      <c r="C201" s="35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</row>
    <row r="202">
      <c r="A202" s="35"/>
      <c r="B202" s="35"/>
      <c r="C202" s="35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</row>
    <row r="203">
      <c r="A203" s="35"/>
      <c r="B203" s="35"/>
      <c r="C203" s="35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</row>
    <row r="204">
      <c r="A204" s="35"/>
      <c r="B204" s="35"/>
      <c r="C204" s="35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</row>
    <row r="205">
      <c r="A205" s="35"/>
      <c r="B205" s="35"/>
      <c r="C205" s="35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</row>
    <row r="206">
      <c r="A206" s="35"/>
      <c r="B206" s="35"/>
      <c r="C206" s="35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</row>
    <row r="207">
      <c r="A207" s="35"/>
      <c r="B207" s="35"/>
      <c r="C207" s="35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</row>
    <row r="208">
      <c r="A208" s="35"/>
      <c r="B208" s="35"/>
      <c r="C208" s="35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</row>
    <row r="209">
      <c r="A209" s="35"/>
      <c r="B209" s="35"/>
      <c r="C209" s="35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</row>
    <row r="210">
      <c r="A210" s="35"/>
      <c r="B210" s="35"/>
      <c r="C210" s="35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</row>
    <row r="211">
      <c r="A211" s="35"/>
      <c r="B211" s="35"/>
      <c r="C211" s="35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</row>
    <row r="212">
      <c r="A212" s="35"/>
      <c r="B212" s="35"/>
      <c r="C212" s="35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</row>
    <row r="213">
      <c r="A213" s="35"/>
      <c r="B213" s="35"/>
      <c r="C213" s="35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</row>
    <row r="214">
      <c r="A214" s="35"/>
      <c r="B214" s="35"/>
      <c r="C214" s="35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</row>
    <row r="215">
      <c r="A215" s="35"/>
      <c r="B215" s="35"/>
      <c r="C215" s="35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</row>
    <row r="216">
      <c r="A216" s="35"/>
      <c r="B216" s="35"/>
      <c r="C216" s="35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</row>
    <row r="217">
      <c r="A217" s="35"/>
      <c r="B217" s="35"/>
      <c r="C217" s="35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</row>
    <row r="218">
      <c r="A218" s="35"/>
      <c r="B218" s="35"/>
      <c r="C218" s="35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</row>
    <row r="219">
      <c r="A219" s="35"/>
      <c r="B219" s="35"/>
      <c r="C219" s="35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</row>
    <row r="220">
      <c r="A220" s="35"/>
      <c r="B220" s="35"/>
      <c r="C220" s="35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</row>
    <row r="221">
      <c r="A221" s="35"/>
      <c r="B221" s="35"/>
      <c r="C221" s="35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</row>
    <row r="222">
      <c r="A222" s="35"/>
      <c r="B222" s="35"/>
      <c r="C222" s="35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</row>
    <row r="223">
      <c r="A223" s="35"/>
      <c r="B223" s="35"/>
      <c r="C223" s="35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</row>
    <row r="224">
      <c r="A224" s="35"/>
      <c r="B224" s="35"/>
      <c r="C224" s="35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</row>
    <row r="225">
      <c r="A225" s="35"/>
      <c r="B225" s="35"/>
      <c r="C225" s="35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</row>
    <row r="226">
      <c r="A226" s="35"/>
      <c r="B226" s="35"/>
      <c r="C226" s="35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</row>
    <row r="227">
      <c r="A227" s="35"/>
      <c r="B227" s="35"/>
      <c r="C227" s="35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</row>
    <row r="228">
      <c r="A228" s="35"/>
      <c r="B228" s="35"/>
      <c r="C228" s="35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</row>
    <row r="229">
      <c r="A229" s="35"/>
      <c r="B229" s="35"/>
      <c r="C229" s="35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</row>
    <row r="230">
      <c r="A230" s="35"/>
      <c r="B230" s="35"/>
      <c r="C230" s="35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</row>
    <row r="231">
      <c r="A231" s="35"/>
      <c r="B231" s="35"/>
      <c r="C231" s="35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</row>
    <row r="232">
      <c r="A232" s="35"/>
      <c r="B232" s="35"/>
      <c r="C232" s="35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</row>
    <row r="233">
      <c r="A233" s="35"/>
      <c r="B233" s="35"/>
      <c r="C233" s="35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</row>
    <row r="234">
      <c r="A234" s="35"/>
      <c r="B234" s="35"/>
      <c r="C234" s="35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</row>
    <row r="235">
      <c r="A235" s="35"/>
      <c r="B235" s="35"/>
      <c r="C235" s="35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</row>
    <row r="236">
      <c r="A236" s="35"/>
      <c r="B236" s="35"/>
      <c r="C236" s="35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</row>
    <row r="237">
      <c r="A237" s="35"/>
      <c r="B237" s="35"/>
      <c r="C237" s="35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</row>
    <row r="238">
      <c r="A238" s="35"/>
      <c r="B238" s="35"/>
      <c r="C238" s="35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</row>
    <row r="239">
      <c r="A239" s="35"/>
      <c r="B239" s="35"/>
      <c r="C239" s="35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</row>
    <row r="240">
      <c r="A240" s="35"/>
      <c r="B240" s="35"/>
      <c r="C240" s="35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</row>
    <row r="241">
      <c r="A241" s="35"/>
      <c r="B241" s="35"/>
      <c r="C241" s="35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</row>
    <row r="242">
      <c r="A242" s="35"/>
      <c r="B242" s="35"/>
      <c r="C242" s="35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</row>
    <row r="243">
      <c r="A243" s="35"/>
      <c r="B243" s="35"/>
      <c r="C243" s="35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</row>
    <row r="244">
      <c r="A244" s="35"/>
      <c r="B244" s="35"/>
      <c r="C244" s="35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</row>
    <row r="245">
      <c r="A245" s="35"/>
      <c r="B245" s="35"/>
      <c r="C245" s="35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</row>
    <row r="246">
      <c r="A246" s="35"/>
      <c r="B246" s="35"/>
      <c r="C246" s="35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</row>
    <row r="247">
      <c r="A247" s="35"/>
      <c r="B247" s="35"/>
      <c r="C247" s="35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</row>
    <row r="248">
      <c r="A248" s="35"/>
      <c r="B248" s="35"/>
      <c r="C248" s="35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</row>
    <row r="249">
      <c r="A249" s="35"/>
      <c r="B249" s="35"/>
      <c r="C249" s="35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</row>
    <row r="250">
      <c r="A250" s="35"/>
      <c r="B250" s="35"/>
      <c r="C250" s="35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</row>
    <row r="251">
      <c r="A251" s="35"/>
      <c r="B251" s="35"/>
      <c r="C251" s="35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</row>
    <row r="252">
      <c r="A252" s="35"/>
      <c r="B252" s="35"/>
      <c r="C252" s="35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</row>
    <row r="253">
      <c r="A253" s="35"/>
      <c r="B253" s="35"/>
      <c r="C253" s="35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</row>
    <row r="254">
      <c r="A254" s="35"/>
      <c r="B254" s="35"/>
      <c r="C254" s="35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</row>
    <row r="255">
      <c r="A255" s="35"/>
      <c r="B255" s="35"/>
      <c r="C255" s="35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</row>
    <row r="256">
      <c r="A256" s="35"/>
      <c r="B256" s="35"/>
      <c r="C256" s="35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</row>
    <row r="257">
      <c r="A257" s="35"/>
      <c r="B257" s="35"/>
      <c r="C257" s="35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</row>
    <row r="258">
      <c r="A258" s="35"/>
      <c r="B258" s="35"/>
      <c r="C258" s="35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</row>
    <row r="259">
      <c r="A259" s="35"/>
      <c r="B259" s="35"/>
      <c r="C259" s="35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</row>
    <row r="260">
      <c r="A260" s="35"/>
      <c r="B260" s="35"/>
      <c r="C260" s="35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</row>
    <row r="261">
      <c r="A261" s="35"/>
      <c r="B261" s="35"/>
      <c r="C261" s="35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</row>
    <row r="262">
      <c r="A262" s="35"/>
      <c r="B262" s="35"/>
      <c r="C262" s="35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</row>
    <row r="263">
      <c r="A263" s="35"/>
      <c r="B263" s="35"/>
      <c r="C263" s="35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</row>
    <row r="264">
      <c r="A264" s="35"/>
      <c r="B264" s="35"/>
      <c r="C264" s="35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</row>
    <row r="265">
      <c r="A265" s="35"/>
      <c r="B265" s="35"/>
      <c r="C265" s="35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</row>
    <row r="266">
      <c r="A266" s="35"/>
      <c r="B266" s="35"/>
      <c r="C266" s="35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</row>
    <row r="267">
      <c r="A267" s="35"/>
      <c r="B267" s="35"/>
      <c r="C267" s="35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</row>
    <row r="268">
      <c r="A268" s="35"/>
      <c r="B268" s="35"/>
      <c r="C268" s="35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</row>
    <row r="269">
      <c r="A269" s="35"/>
      <c r="B269" s="35"/>
      <c r="C269" s="35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</row>
    <row r="270">
      <c r="A270" s="35"/>
      <c r="B270" s="35"/>
      <c r="C270" s="35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</row>
    <row r="271">
      <c r="A271" s="35"/>
      <c r="B271" s="35"/>
      <c r="C271" s="35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</row>
    <row r="272">
      <c r="A272" s="35"/>
      <c r="B272" s="35"/>
      <c r="C272" s="35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</row>
    <row r="273">
      <c r="A273" s="35"/>
      <c r="B273" s="35"/>
      <c r="C273" s="35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</row>
    <row r="274">
      <c r="A274" s="35"/>
      <c r="B274" s="35"/>
      <c r="C274" s="35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</row>
    <row r="275">
      <c r="A275" s="35"/>
      <c r="B275" s="35"/>
      <c r="C275" s="35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</row>
    <row r="276">
      <c r="A276" s="35"/>
      <c r="B276" s="35"/>
      <c r="C276" s="35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</row>
    <row r="277">
      <c r="A277" s="35"/>
      <c r="B277" s="35"/>
      <c r="C277" s="35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</row>
    <row r="278">
      <c r="A278" s="35"/>
      <c r="B278" s="35"/>
      <c r="C278" s="35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</row>
    <row r="279">
      <c r="A279" s="35"/>
      <c r="B279" s="35"/>
      <c r="C279" s="35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</row>
    <row r="280">
      <c r="A280" s="35"/>
      <c r="B280" s="35"/>
      <c r="C280" s="35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</row>
    <row r="281">
      <c r="A281" s="35"/>
      <c r="B281" s="35"/>
      <c r="C281" s="35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</row>
    <row r="282">
      <c r="A282" s="35"/>
      <c r="B282" s="35"/>
      <c r="C282" s="35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</row>
    <row r="283">
      <c r="A283" s="35"/>
      <c r="B283" s="35"/>
      <c r="C283" s="35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</row>
    <row r="284">
      <c r="A284" s="35"/>
      <c r="B284" s="35"/>
      <c r="C284" s="35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</row>
    <row r="285">
      <c r="A285" s="35"/>
      <c r="B285" s="35"/>
      <c r="C285" s="35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</row>
    <row r="286">
      <c r="A286" s="35"/>
      <c r="B286" s="35"/>
      <c r="C286" s="35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</row>
    <row r="287">
      <c r="A287" s="35"/>
      <c r="B287" s="35"/>
      <c r="C287" s="35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</row>
    <row r="288">
      <c r="A288" s="35"/>
      <c r="B288" s="35"/>
      <c r="C288" s="35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</row>
    <row r="289">
      <c r="A289" s="35"/>
      <c r="B289" s="35"/>
      <c r="C289" s="35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</row>
    <row r="290">
      <c r="A290" s="35"/>
      <c r="B290" s="35"/>
      <c r="C290" s="35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</row>
    <row r="291">
      <c r="A291" s="35"/>
      <c r="B291" s="35"/>
      <c r="C291" s="35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</row>
    <row r="292">
      <c r="A292" s="35"/>
      <c r="B292" s="35"/>
      <c r="C292" s="35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</row>
    <row r="293">
      <c r="A293" s="35"/>
      <c r="B293" s="35"/>
      <c r="C293" s="35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</row>
    <row r="294">
      <c r="A294" s="35"/>
      <c r="B294" s="35"/>
      <c r="C294" s="35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</row>
    <row r="295">
      <c r="A295" s="35"/>
      <c r="B295" s="35"/>
      <c r="C295" s="35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</row>
    <row r="296">
      <c r="A296" s="35"/>
      <c r="B296" s="35"/>
      <c r="C296" s="35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</row>
    <row r="297">
      <c r="A297" s="35"/>
      <c r="B297" s="35"/>
      <c r="C297" s="35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</row>
    <row r="298">
      <c r="A298" s="35"/>
      <c r="B298" s="35"/>
      <c r="C298" s="35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</row>
    <row r="299">
      <c r="A299" s="35"/>
      <c r="B299" s="35"/>
      <c r="C299" s="35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</row>
    <row r="300">
      <c r="A300" s="35"/>
      <c r="B300" s="35"/>
      <c r="C300" s="35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</row>
    <row r="301">
      <c r="A301" s="35"/>
      <c r="B301" s="35"/>
      <c r="C301" s="35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</row>
    <row r="302">
      <c r="A302" s="35"/>
      <c r="B302" s="35"/>
      <c r="C302" s="35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</row>
    <row r="303">
      <c r="A303" s="35"/>
      <c r="B303" s="35"/>
      <c r="C303" s="35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</row>
    <row r="304">
      <c r="A304" s="35"/>
      <c r="B304" s="35"/>
      <c r="C304" s="35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</row>
    <row r="305">
      <c r="A305" s="35"/>
      <c r="B305" s="35"/>
      <c r="C305" s="35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</row>
    <row r="306">
      <c r="A306" s="35"/>
      <c r="B306" s="35"/>
      <c r="C306" s="35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</row>
    <row r="307">
      <c r="A307" s="35"/>
      <c r="B307" s="35"/>
      <c r="C307" s="35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</row>
    <row r="308">
      <c r="A308" s="35"/>
      <c r="B308" s="35"/>
      <c r="C308" s="35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</row>
    <row r="309">
      <c r="A309" s="35"/>
      <c r="B309" s="35"/>
      <c r="C309" s="35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</row>
    <row r="310">
      <c r="A310" s="35"/>
      <c r="B310" s="35"/>
      <c r="C310" s="35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</row>
    <row r="311">
      <c r="A311" s="35"/>
      <c r="B311" s="35"/>
      <c r="C311" s="35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</row>
    <row r="312">
      <c r="A312" s="35"/>
      <c r="B312" s="35"/>
      <c r="C312" s="35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</row>
    <row r="313">
      <c r="A313" s="35"/>
      <c r="B313" s="35"/>
      <c r="C313" s="35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</row>
    <row r="314">
      <c r="A314" s="35"/>
      <c r="B314" s="35"/>
      <c r="C314" s="35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</row>
    <row r="315">
      <c r="A315" s="35"/>
      <c r="B315" s="35"/>
      <c r="C315" s="35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</row>
    <row r="316">
      <c r="A316" s="35"/>
      <c r="B316" s="35"/>
      <c r="C316" s="35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</row>
    <row r="317">
      <c r="A317" s="35"/>
      <c r="B317" s="35"/>
      <c r="C317" s="35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</row>
    <row r="318">
      <c r="A318" s="35"/>
      <c r="B318" s="35"/>
      <c r="C318" s="35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</row>
    <row r="319">
      <c r="A319" s="35"/>
      <c r="B319" s="35"/>
      <c r="C319" s="35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</row>
    <row r="320">
      <c r="A320" s="35"/>
      <c r="B320" s="35"/>
      <c r="C320" s="35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</row>
    <row r="321">
      <c r="A321" s="35"/>
      <c r="B321" s="35"/>
      <c r="C321" s="35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</row>
    <row r="322">
      <c r="A322" s="35"/>
      <c r="B322" s="35"/>
      <c r="C322" s="35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</row>
    <row r="323">
      <c r="A323" s="35"/>
      <c r="B323" s="35"/>
      <c r="C323" s="35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</row>
    <row r="324">
      <c r="A324" s="35"/>
      <c r="B324" s="35"/>
      <c r="C324" s="35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</row>
    <row r="325">
      <c r="A325" s="35"/>
      <c r="B325" s="35"/>
      <c r="C325" s="35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</row>
    <row r="326">
      <c r="A326" s="35"/>
      <c r="B326" s="35"/>
      <c r="C326" s="35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</row>
    <row r="327">
      <c r="A327" s="35"/>
      <c r="B327" s="35"/>
      <c r="C327" s="35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</row>
    <row r="328">
      <c r="A328" s="35"/>
      <c r="B328" s="35"/>
      <c r="C328" s="35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</row>
    <row r="329">
      <c r="A329" s="35"/>
      <c r="B329" s="35"/>
      <c r="C329" s="35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</row>
    <row r="330">
      <c r="A330" s="35"/>
      <c r="B330" s="35"/>
      <c r="C330" s="35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</row>
    <row r="331">
      <c r="A331" s="35"/>
      <c r="B331" s="35"/>
      <c r="C331" s="35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</row>
    <row r="332">
      <c r="A332" s="35"/>
      <c r="B332" s="35"/>
      <c r="C332" s="35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</row>
    <row r="333">
      <c r="A333" s="35"/>
      <c r="B333" s="35"/>
      <c r="C333" s="35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</row>
    <row r="334">
      <c r="A334" s="35"/>
      <c r="B334" s="35"/>
      <c r="C334" s="35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</row>
    <row r="335">
      <c r="A335" s="35"/>
      <c r="B335" s="35"/>
      <c r="C335" s="35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</row>
    <row r="336">
      <c r="A336" s="35"/>
      <c r="B336" s="35"/>
      <c r="C336" s="35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</row>
    <row r="337">
      <c r="A337" s="35"/>
      <c r="B337" s="35"/>
      <c r="C337" s="35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</row>
    <row r="338">
      <c r="A338" s="35"/>
      <c r="B338" s="35"/>
      <c r="C338" s="35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</row>
    <row r="339">
      <c r="A339" s="35"/>
      <c r="B339" s="35"/>
      <c r="C339" s="35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</row>
    <row r="340">
      <c r="A340" s="35"/>
      <c r="B340" s="35"/>
      <c r="C340" s="35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</row>
    <row r="341">
      <c r="A341" s="35"/>
      <c r="B341" s="35"/>
      <c r="C341" s="35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</row>
    <row r="342">
      <c r="A342" s="35"/>
      <c r="B342" s="35"/>
      <c r="C342" s="35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</row>
    <row r="343">
      <c r="A343" s="35"/>
      <c r="B343" s="35"/>
      <c r="C343" s="35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</row>
    <row r="344">
      <c r="A344" s="35"/>
      <c r="B344" s="35"/>
      <c r="C344" s="35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</row>
    <row r="345">
      <c r="A345" s="35"/>
      <c r="B345" s="35"/>
      <c r="C345" s="35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</row>
    <row r="346">
      <c r="A346" s="35"/>
      <c r="B346" s="35"/>
      <c r="C346" s="35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</row>
    <row r="347">
      <c r="A347" s="35"/>
      <c r="B347" s="35"/>
      <c r="C347" s="35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</row>
    <row r="348">
      <c r="A348" s="35"/>
      <c r="B348" s="35"/>
      <c r="C348" s="35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</row>
    <row r="349">
      <c r="A349" s="35"/>
      <c r="B349" s="35"/>
      <c r="C349" s="35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</row>
    <row r="350">
      <c r="A350" s="35"/>
      <c r="B350" s="35"/>
      <c r="C350" s="35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</row>
    <row r="351">
      <c r="A351" s="35"/>
      <c r="B351" s="35"/>
      <c r="C351" s="35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</row>
    <row r="352">
      <c r="A352" s="35"/>
      <c r="B352" s="35"/>
      <c r="C352" s="35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</row>
    <row r="353">
      <c r="A353" s="35"/>
      <c r="B353" s="35"/>
      <c r="C353" s="35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</row>
    <row r="354">
      <c r="A354" s="35"/>
      <c r="B354" s="35"/>
      <c r="C354" s="35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</row>
    <row r="355">
      <c r="A355" s="35"/>
      <c r="B355" s="35"/>
      <c r="C355" s="35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</row>
    <row r="356">
      <c r="A356" s="35"/>
      <c r="B356" s="35"/>
      <c r="C356" s="35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</row>
    <row r="357">
      <c r="A357" s="35"/>
      <c r="B357" s="35"/>
      <c r="C357" s="35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</row>
    <row r="358">
      <c r="A358" s="35"/>
      <c r="B358" s="35"/>
      <c r="C358" s="35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</row>
    <row r="359">
      <c r="A359" s="35"/>
      <c r="B359" s="35"/>
      <c r="C359" s="35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</row>
    <row r="360">
      <c r="A360" s="35"/>
      <c r="B360" s="35"/>
      <c r="C360" s="35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</row>
    <row r="361">
      <c r="A361" s="35"/>
      <c r="B361" s="35"/>
      <c r="C361" s="35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</row>
    <row r="362">
      <c r="A362" s="35"/>
      <c r="B362" s="35"/>
      <c r="C362" s="35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</row>
    <row r="363">
      <c r="A363" s="35"/>
      <c r="B363" s="35"/>
      <c r="C363" s="35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</row>
    <row r="364">
      <c r="A364" s="35"/>
      <c r="B364" s="35"/>
      <c r="C364" s="35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</row>
    <row r="365">
      <c r="A365" s="35"/>
      <c r="B365" s="35"/>
      <c r="C365" s="35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</row>
    <row r="366">
      <c r="A366" s="35"/>
      <c r="B366" s="35"/>
      <c r="C366" s="35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</row>
    <row r="367">
      <c r="A367" s="35"/>
      <c r="B367" s="35"/>
      <c r="C367" s="35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</row>
    <row r="368">
      <c r="A368" s="35"/>
      <c r="B368" s="35"/>
      <c r="C368" s="35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</row>
    <row r="369">
      <c r="A369" s="35"/>
      <c r="B369" s="35"/>
      <c r="C369" s="35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</row>
    <row r="370">
      <c r="A370" s="35"/>
      <c r="B370" s="35"/>
      <c r="C370" s="35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</row>
    <row r="371">
      <c r="A371" s="35"/>
      <c r="B371" s="35"/>
      <c r="C371" s="35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</row>
    <row r="372">
      <c r="A372" s="35"/>
      <c r="B372" s="35"/>
      <c r="C372" s="35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</row>
    <row r="373">
      <c r="A373" s="35"/>
      <c r="B373" s="35"/>
      <c r="C373" s="35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</row>
    <row r="374">
      <c r="A374" s="35"/>
      <c r="B374" s="35"/>
      <c r="C374" s="35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</row>
    <row r="375">
      <c r="A375" s="35"/>
      <c r="B375" s="35"/>
      <c r="C375" s="35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</row>
    <row r="376">
      <c r="A376" s="35"/>
      <c r="B376" s="35"/>
      <c r="C376" s="35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</row>
    <row r="377">
      <c r="A377" s="35"/>
      <c r="B377" s="35"/>
      <c r="C377" s="35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</row>
    <row r="378">
      <c r="A378" s="35"/>
      <c r="B378" s="35"/>
      <c r="C378" s="35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</row>
    <row r="379">
      <c r="A379" s="35"/>
      <c r="B379" s="35"/>
      <c r="C379" s="35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</row>
    <row r="380">
      <c r="A380" s="35"/>
      <c r="B380" s="35"/>
      <c r="C380" s="35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</row>
    <row r="381">
      <c r="A381" s="35"/>
      <c r="B381" s="35"/>
      <c r="C381" s="35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</row>
    <row r="382">
      <c r="A382" s="35"/>
      <c r="B382" s="35"/>
      <c r="C382" s="35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</row>
    <row r="383">
      <c r="A383" s="35"/>
      <c r="B383" s="35"/>
      <c r="C383" s="35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</row>
    <row r="384">
      <c r="A384" s="35"/>
      <c r="B384" s="35"/>
      <c r="C384" s="35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</row>
    <row r="385">
      <c r="A385" s="35"/>
      <c r="B385" s="35"/>
      <c r="C385" s="35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</row>
    <row r="386">
      <c r="A386" s="35"/>
      <c r="B386" s="35"/>
      <c r="C386" s="35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</row>
    <row r="387">
      <c r="A387" s="35"/>
      <c r="B387" s="35"/>
      <c r="C387" s="35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</row>
    <row r="388">
      <c r="A388" s="35"/>
      <c r="B388" s="35"/>
      <c r="C388" s="35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</row>
    <row r="389">
      <c r="A389" s="35"/>
      <c r="B389" s="35"/>
      <c r="C389" s="35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</row>
    <row r="390">
      <c r="A390" s="35"/>
      <c r="B390" s="35"/>
      <c r="C390" s="35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</row>
    <row r="391">
      <c r="A391" s="35"/>
      <c r="B391" s="35"/>
      <c r="C391" s="35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</row>
    <row r="392">
      <c r="A392" s="35"/>
      <c r="B392" s="35"/>
      <c r="C392" s="35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</row>
    <row r="393">
      <c r="A393" s="35"/>
      <c r="B393" s="35"/>
      <c r="C393" s="35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</row>
    <row r="394">
      <c r="A394" s="35"/>
      <c r="B394" s="35"/>
      <c r="C394" s="35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</row>
    <row r="395">
      <c r="A395" s="35"/>
      <c r="B395" s="35"/>
      <c r="C395" s="35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</row>
    <row r="396">
      <c r="A396" s="35"/>
      <c r="B396" s="35"/>
      <c r="C396" s="35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</row>
    <row r="397">
      <c r="A397" s="35"/>
      <c r="B397" s="35"/>
      <c r="C397" s="35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</row>
    <row r="398">
      <c r="A398" s="35"/>
      <c r="B398" s="35"/>
      <c r="C398" s="35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</row>
    <row r="399">
      <c r="A399" s="35"/>
      <c r="B399" s="35"/>
      <c r="C399" s="35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</row>
    <row r="400">
      <c r="A400" s="35"/>
      <c r="B400" s="35"/>
      <c r="C400" s="35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</row>
    <row r="401">
      <c r="A401" s="35"/>
      <c r="B401" s="35"/>
      <c r="C401" s="35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</row>
    <row r="402">
      <c r="A402" s="35"/>
      <c r="B402" s="35"/>
      <c r="C402" s="35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</row>
    <row r="403">
      <c r="A403" s="35"/>
      <c r="B403" s="35"/>
      <c r="C403" s="35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</row>
    <row r="404">
      <c r="A404" s="35"/>
      <c r="B404" s="35"/>
      <c r="C404" s="35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</row>
    <row r="405">
      <c r="A405" s="35"/>
      <c r="B405" s="35"/>
      <c r="C405" s="35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</row>
    <row r="406">
      <c r="A406" s="35"/>
      <c r="B406" s="35"/>
      <c r="C406" s="35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</row>
    <row r="407">
      <c r="A407" s="35"/>
      <c r="B407" s="35"/>
      <c r="C407" s="35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</row>
    <row r="408">
      <c r="A408" s="35"/>
      <c r="B408" s="35"/>
      <c r="C408" s="35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</row>
    <row r="409">
      <c r="A409" s="35"/>
      <c r="B409" s="35"/>
      <c r="C409" s="35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</row>
    <row r="410">
      <c r="A410" s="35"/>
      <c r="B410" s="35"/>
      <c r="C410" s="35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</row>
    <row r="411">
      <c r="A411" s="35"/>
      <c r="B411" s="35"/>
      <c r="C411" s="35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</row>
    <row r="412">
      <c r="A412" s="35"/>
      <c r="B412" s="35"/>
      <c r="C412" s="35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</row>
    <row r="413">
      <c r="A413" s="35"/>
      <c r="B413" s="35"/>
      <c r="C413" s="35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</row>
    <row r="414">
      <c r="A414" s="35"/>
      <c r="B414" s="35"/>
      <c r="C414" s="35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</row>
    <row r="415">
      <c r="A415" s="35"/>
      <c r="B415" s="35"/>
      <c r="C415" s="35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</row>
    <row r="416">
      <c r="A416" s="35"/>
      <c r="B416" s="35"/>
      <c r="C416" s="35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</row>
    <row r="417">
      <c r="A417" s="35"/>
      <c r="B417" s="35"/>
      <c r="C417" s="35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</row>
    <row r="418">
      <c r="A418" s="35"/>
      <c r="B418" s="35"/>
      <c r="C418" s="35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</row>
    <row r="419">
      <c r="A419" s="35"/>
      <c r="B419" s="35"/>
      <c r="C419" s="35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</row>
    <row r="420">
      <c r="A420" s="35"/>
      <c r="B420" s="35"/>
      <c r="C420" s="35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</row>
    <row r="421">
      <c r="A421" s="35"/>
      <c r="B421" s="35"/>
      <c r="C421" s="35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</row>
    <row r="422">
      <c r="A422" s="35"/>
      <c r="B422" s="35"/>
      <c r="C422" s="35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</row>
    <row r="423">
      <c r="A423" s="35"/>
      <c r="B423" s="35"/>
      <c r="C423" s="35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</row>
    <row r="424">
      <c r="A424" s="35"/>
      <c r="B424" s="35"/>
      <c r="C424" s="35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</row>
    <row r="425">
      <c r="A425" s="35"/>
      <c r="B425" s="35"/>
      <c r="C425" s="35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</row>
    <row r="426">
      <c r="A426" s="35"/>
      <c r="B426" s="35"/>
      <c r="C426" s="35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</row>
    <row r="427">
      <c r="A427" s="35"/>
      <c r="B427" s="35"/>
      <c r="C427" s="35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</row>
    <row r="428">
      <c r="A428" s="35"/>
      <c r="B428" s="35"/>
      <c r="C428" s="35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</row>
    <row r="429">
      <c r="A429" s="35"/>
      <c r="B429" s="35"/>
      <c r="C429" s="35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</row>
    <row r="430">
      <c r="A430" s="35"/>
      <c r="B430" s="35"/>
      <c r="C430" s="35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</row>
    <row r="431">
      <c r="A431" s="35"/>
      <c r="B431" s="35"/>
      <c r="C431" s="35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</row>
    <row r="432">
      <c r="A432" s="35"/>
      <c r="B432" s="35"/>
      <c r="C432" s="35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</row>
    <row r="433">
      <c r="A433" s="35"/>
      <c r="B433" s="35"/>
      <c r="C433" s="35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</row>
    <row r="434">
      <c r="A434" s="35"/>
      <c r="B434" s="35"/>
      <c r="C434" s="35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</row>
    <row r="435">
      <c r="A435" s="35"/>
      <c r="B435" s="35"/>
      <c r="C435" s="35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</row>
    <row r="436">
      <c r="A436" s="35"/>
      <c r="B436" s="35"/>
      <c r="C436" s="35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</row>
    <row r="437">
      <c r="A437" s="35"/>
      <c r="B437" s="35"/>
      <c r="C437" s="35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</row>
    <row r="438">
      <c r="A438" s="35"/>
      <c r="B438" s="35"/>
      <c r="C438" s="35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</row>
    <row r="439">
      <c r="A439" s="35"/>
      <c r="B439" s="35"/>
      <c r="C439" s="35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</row>
    <row r="440">
      <c r="A440" s="35"/>
      <c r="B440" s="35"/>
      <c r="C440" s="35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</row>
    <row r="441">
      <c r="A441" s="35"/>
      <c r="B441" s="35"/>
      <c r="C441" s="35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</row>
    <row r="442">
      <c r="A442" s="35"/>
      <c r="B442" s="35"/>
      <c r="C442" s="35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</row>
    <row r="443">
      <c r="A443" s="35"/>
      <c r="B443" s="35"/>
      <c r="C443" s="35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</row>
    <row r="444">
      <c r="A444" s="35"/>
      <c r="B444" s="35"/>
      <c r="C444" s="35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</row>
    <row r="445">
      <c r="A445" s="35"/>
      <c r="B445" s="35"/>
      <c r="C445" s="35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</row>
    <row r="446">
      <c r="A446" s="35"/>
      <c r="B446" s="35"/>
      <c r="C446" s="35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</row>
    <row r="447">
      <c r="A447" s="35"/>
      <c r="B447" s="35"/>
      <c r="C447" s="35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</row>
    <row r="448">
      <c r="A448" s="35"/>
      <c r="B448" s="35"/>
      <c r="C448" s="35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</row>
    <row r="449">
      <c r="A449" s="35"/>
      <c r="B449" s="35"/>
      <c r="C449" s="35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</row>
    <row r="450">
      <c r="A450" s="35"/>
      <c r="B450" s="35"/>
      <c r="C450" s="35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</row>
    <row r="451">
      <c r="A451" s="35"/>
      <c r="B451" s="35"/>
      <c r="C451" s="35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</row>
    <row r="452">
      <c r="A452" s="35"/>
      <c r="B452" s="35"/>
      <c r="C452" s="35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</row>
    <row r="453">
      <c r="A453" s="35"/>
      <c r="B453" s="35"/>
      <c r="C453" s="35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</row>
    <row r="454">
      <c r="A454" s="35"/>
      <c r="B454" s="35"/>
      <c r="C454" s="35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</row>
    <row r="455">
      <c r="A455" s="35"/>
      <c r="B455" s="35"/>
      <c r="C455" s="35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</row>
    <row r="456">
      <c r="A456" s="35"/>
      <c r="B456" s="35"/>
      <c r="C456" s="35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</row>
    <row r="457">
      <c r="A457" s="35"/>
      <c r="B457" s="35"/>
      <c r="C457" s="35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</row>
    <row r="458">
      <c r="A458" s="35"/>
      <c r="B458" s="35"/>
      <c r="C458" s="35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</row>
    <row r="459">
      <c r="A459" s="35"/>
      <c r="B459" s="35"/>
      <c r="C459" s="35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</row>
    <row r="460">
      <c r="A460" s="35"/>
      <c r="B460" s="35"/>
      <c r="C460" s="35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</row>
    <row r="461">
      <c r="A461" s="35"/>
      <c r="B461" s="35"/>
      <c r="C461" s="35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</row>
    <row r="462">
      <c r="A462" s="35"/>
      <c r="B462" s="35"/>
      <c r="C462" s="35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</row>
    <row r="463">
      <c r="A463" s="35"/>
      <c r="B463" s="35"/>
      <c r="C463" s="35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</row>
    <row r="464">
      <c r="A464" s="35"/>
      <c r="B464" s="35"/>
      <c r="C464" s="35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</row>
    <row r="465">
      <c r="A465" s="35"/>
      <c r="B465" s="35"/>
      <c r="C465" s="35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</row>
    <row r="466">
      <c r="A466" s="35"/>
      <c r="B466" s="35"/>
      <c r="C466" s="35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</row>
    <row r="467">
      <c r="A467" s="35"/>
      <c r="B467" s="35"/>
      <c r="C467" s="35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</row>
    <row r="468">
      <c r="A468" s="35"/>
      <c r="B468" s="35"/>
      <c r="C468" s="35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</row>
    <row r="469">
      <c r="A469" s="35"/>
      <c r="B469" s="35"/>
      <c r="C469" s="35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</row>
    <row r="470">
      <c r="A470" s="35"/>
      <c r="B470" s="35"/>
      <c r="C470" s="35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</row>
    <row r="471">
      <c r="A471" s="35"/>
      <c r="B471" s="35"/>
      <c r="C471" s="35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</row>
    <row r="472">
      <c r="A472" s="35"/>
      <c r="B472" s="35"/>
      <c r="C472" s="35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</row>
    <row r="473">
      <c r="A473" s="35"/>
      <c r="B473" s="35"/>
      <c r="C473" s="35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</row>
    <row r="474">
      <c r="A474" s="35"/>
      <c r="B474" s="35"/>
      <c r="C474" s="35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</row>
    <row r="475">
      <c r="A475" s="35"/>
      <c r="B475" s="35"/>
      <c r="C475" s="35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</row>
    <row r="476">
      <c r="A476" s="35"/>
      <c r="B476" s="35"/>
      <c r="C476" s="35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</row>
    <row r="477">
      <c r="A477" s="35"/>
      <c r="B477" s="35"/>
      <c r="C477" s="35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</row>
    <row r="478">
      <c r="A478" s="35"/>
      <c r="B478" s="35"/>
      <c r="C478" s="35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</row>
    <row r="479">
      <c r="A479" s="35"/>
      <c r="B479" s="35"/>
      <c r="C479" s="35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</row>
    <row r="480">
      <c r="A480" s="35"/>
      <c r="B480" s="35"/>
      <c r="C480" s="35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</row>
    <row r="481">
      <c r="A481" s="35"/>
      <c r="B481" s="35"/>
      <c r="C481" s="35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</row>
    <row r="482">
      <c r="A482" s="35"/>
      <c r="B482" s="35"/>
      <c r="C482" s="35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</row>
    <row r="483">
      <c r="A483" s="35"/>
      <c r="B483" s="35"/>
      <c r="C483" s="35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</row>
    <row r="484">
      <c r="A484" s="35"/>
      <c r="B484" s="35"/>
      <c r="C484" s="35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</row>
    <row r="485">
      <c r="A485" s="35"/>
      <c r="B485" s="35"/>
      <c r="C485" s="35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</row>
    <row r="486">
      <c r="A486" s="35"/>
      <c r="B486" s="35"/>
      <c r="C486" s="35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</row>
    <row r="487">
      <c r="A487" s="35"/>
      <c r="B487" s="35"/>
      <c r="C487" s="35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</row>
    <row r="488">
      <c r="A488" s="35"/>
      <c r="B488" s="35"/>
      <c r="C488" s="35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</row>
    <row r="489">
      <c r="A489" s="35"/>
      <c r="B489" s="35"/>
      <c r="C489" s="35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</row>
    <row r="490">
      <c r="A490" s="35"/>
      <c r="B490" s="35"/>
      <c r="C490" s="35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</row>
    <row r="491">
      <c r="A491" s="35"/>
      <c r="B491" s="35"/>
      <c r="C491" s="35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</row>
    <row r="492">
      <c r="A492" s="35"/>
      <c r="B492" s="35"/>
      <c r="C492" s="35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</row>
    <row r="493">
      <c r="A493" s="35"/>
      <c r="B493" s="35"/>
      <c r="C493" s="35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</row>
    <row r="494">
      <c r="A494" s="35"/>
      <c r="B494" s="35"/>
      <c r="C494" s="35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</row>
    <row r="495">
      <c r="A495" s="35"/>
      <c r="B495" s="35"/>
      <c r="C495" s="35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</row>
    <row r="496">
      <c r="A496" s="35"/>
      <c r="B496" s="35"/>
      <c r="C496" s="35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</row>
    <row r="497">
      <c r="A497" s="35"/>
      <c r="B497" s="35"/>
      <c r="C497" s="35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</row>
    <row r="498">
      <c r="A498" s="35"/>
      <c r="B498" s="35"/>
      <c r="C498" s="35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</row>
    <row r="499">
      <c r="A499" s="35"/>
      <c r="B499" s="35"/>
      <c r="C499" s="35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</row>
    <row r="500">
      <c r="A500" s="35"/>
      <c r="B500" s="35"/>
      <c r="C500" s="35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</row>
    <row r="501">
      <c r="A501" s="35"/>
      <c r="B501" s="35"/>
      <c r="C501" s="35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</row>
    <row r="502">
      <c r="A502" s="35"/>
      <c r="B502" s="35"/>
      <c r="C502" s="35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</row>
    <row r="503">
      <c r="A503" s="35"/>
      <c r="B503" s="35"/>
      <c r="C503" s="35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</row>
    <row r="504">
      <c r="A504" s="35"/>
      <c r="B504" s="35"/>
      <c r="C504" s="35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</row>
    <row r="505">
      <c r="A505" s="35"/>
      <c r="B505" s="35"/>
      <c r="C505" s="35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</row>
    <row r="506">
      <c r="A506" s="35"/>
      <c r="B506" s="35"/>
      <c r="C506" s="35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</row>
    <row r="507">
      <c r="A507" s="35"/>
      <c r="B507" s="35"/>
      <c r="C507" s="35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</row>
    <row r="508">
      <c r="A508" s="35"/>
      <c r="B508" s="35"/>
      <c r="C508" s="35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</row>
    <row r="509">
      <c r="A509" s="35"/>
      <c r="B509" s="35"/>
      <c r="C509" s="35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</row>
    <row r="510">
      <c r="A510" s="35"/>
      <c r="B510" s="35"/>
      <c r="C510" s="35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</row>
    <row r="511">
      <c r="A511" s="35"/>
      <c r="B511" s="35"/>
      <c r="C511" s="35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</row>
    <row r="512">
      <c r="A512" s="35"/>
      <c r="B512" s="35"/>
      <c r="C512" s="35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</row>
    <row r="513">
      <c r="A513" s="35"/>
      <c r="B513" s="35"/>
      <c r="C513" s="35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</row>
    <row r="514">
      <c r="A514" s="35"/>
      <c r="B514" s="35"/>
      <c r="C514" s="35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</row>
    <row r="515">
      <c r="A515" s="35"/>
      <c r="B515" s="35"/>
      <c r="C515" s="35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</row>
    <row r="516">
      <c r="A516" s="35"/>
      <c r="B516" s="35"/>
      <c r="C516" s="35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</row>
    <row r="517">
      <c r="A517" s="35"/>
      <c r="B517" s="35"/>
      <c r="C517" s="35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</row>
    <row r="518">
      <c r="A518" s="35"/>
      <c r="B518" s="35"/>
      <c r="C518" s="35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</row>
    <row r="519">
      <c r="A519" s="35"/>
      <c r="B519" s="35"/>
      <c r="C519" s="35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</row>
    <row r="520">
      <c r="A520" s="35"/>
      <c r="B520" s="35"/>
      <c r="C520" s="35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</row>
    <row r="521">
      <c r="A521" s="35"/>
      <c r="B521" s="35"/>
      <c r="C521" s="35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</row>
    <row r="522">
      <c r="A522" s="35"/>
      <c r="B522" s="35"/>
      <c r="C522" s="35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</row>
    <row r="523">
      <c r="A523" s="35"/>
      <c r="B523" s="35"/>
      <c r="C523" s="35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</row>
    <row r="524">
      <c r="A524" s="35"/>
      <c r="B524" s="35"/>
      <c r="C524" s="35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</row>
    <row r="525">
      <c r="A525" s="35"/>
      <c r="B525" s="35"/>
      <c r="C525" s="35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</row>
    <row r="526">
      <c r="A526" s="35"/>
      <c r="B526" s="35"/>
      <c r="C526" s="35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</row>
    <row r="527">
      <c r="A527" s="35"/>
      <c r="B527" s="35"/>
      <c r="C527" s="35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</row>
    <row r="528">
      <c r="A528" s="35"/>
      <c r="B528" s="35"/>
      <c r="C528" s="35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</row>
    <row r="529">
      <c r="A529" s="35"/>
      <c r="B529" s="35"/>
      <c r="C529" s="35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</row>
    <row r="530">
      <c r="A530" s="35"/>
      <c r="B530" s="35"/>
      <c r="C530" s="35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</row>
    <row r="531">
      <c r="A531" s="35"/>
      <c r="B531" s="35"/>
      <c r="C531" s="35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</row>
    <row r="532">
      <c r="A532" s="35"/>
      <c r="B532" s="35"/>
      <c r="C532" s="35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</row>
    <row r="533">
      <c r="A533" s="35"/>
      <c r="B533" s="35"/>
      <c r="C533" s="35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</row>
    <row r="534">
      <c r="A534" s="35"/>
      <c r="B534" s="35"/>
      <c r="C534" s="35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</row>
    <row r="535">
      <c r="A535" s="35"/>
      <c r="B535" s="35"/>
      <c r="C535" s="35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</row>
    <row r="536">
      <c r="A536" s="35"/>
      <c r="B536" s="35"/>
      <c r="C536" s="35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</row>
    <row r="537">
      <c r="A537" s="35"/>
      <c r="B537" s="35"/>
      <c r="C537" s="35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</row>
    <row r="538">
      <c r="A538" s="35"/>
      <c r="B538" s="35"/>
      <c r="C538" s="35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</row>
    <row r="539">
      <c r="A539" s="35"/>
      <c r="B539" s="35"/>
      <c r="C539" s="35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</row>
    <row r="540">
      <c r="A540" s="35"/>
      <c r="B540" s="35"/>
      <c r="C540" s="35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</row>
    <row r="541">
      <c r="A541" s="35"/>
      <c r="B541" s="35"/>
      <c r="C541" s="35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</row>
    <row r="542">
      <c r="A542" s="35"/>
      <c r="B542" s="35"/>
      <c r="C542" s="35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</row>
    <row r="543">
      <c r="A543" s="35"/>
      <c r="B543" s="35"/>
      <c r="C543" s="35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</row>
    <row r="544">
      <c r="A544" s="35"/>
      <c r="B544" s="35"/>
      <c r="C544" s="35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</row>
    <row r="545">
      <c r="A545" s="35"/>
      <c r="B545" s="35"/>
      <c r="C545" s="35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</row>
    <row r="546">
      <c r="A546" s="35"/>
      <c r="B546" s="35"/>
      <c r="C546" s="35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</row>
    <row r="547">
      <c r="A547" s="35"/>
      <c r="B547" s="35"/>
      <c r="C547" s="35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</row>
    <row r="548">
      <c r="A548" s="35"/>
      <c r="B548" s="35"/>
      <c r="C548" s="35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</row>
    <row r="549">
      <c r="A549" s="35"/>
      <c r="B549" s="35"/>
      <c r="C549" s="35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</row>
    <row r="550">
      <c r="A550" s="35"/>
      <c r="B550" s="35"/>
      <c r="C550" s="35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</row>
    <row r="551">
      <c r="A551" s="35"/>
      <c r="B551" s="35"/>
      <c r="C551" s="35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</row>
    <row r="552">
      <c r="A552" s="35"/>
      <c r="B552" s="35"/>
      <c r="C552" s="35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</row>
    <row r="553">
      <c r="A553" s="35"/>
      <c r="B553" s="35"/>
      <c r="C553" s="35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</row>
    <row r="554">
      <c r="A554" s="35"/>
      <c r="B554" s="35"/>
      <c r="C554" s="35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</row>
    <row r="555">
      <c r="A555" s="35"/>
      <c r="B555" s="35"/>
      <c r="C555" s="35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</row>
    <row r="556">
      <c r="A556" s="35"/>
      <c r="B556" s="35"/>
      <c r="C556" s="35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</row>
    <row r="557">
      <c r="A557" s="35"/>
      <c r="B557" s="35"/>
      <c r="C557" s="35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</row>
    <row r="558">
      <c r="A558" s="35"/>
      <c r="B558" s="35"/>
      <c r="C558" s="35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</row>
    <row r="559">
      <c r="A559" s="35"/>
      <c r="B559" s="35"/>
      <c r="C559" s="35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</row>
    <row r="560">
      <c r="A560" s="35"/>
      <c r="B560" s="35"/>
      <c r="C560" s="35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</row>
    <row r="561">
      <c r="A561" s="35"/>
      <c r="B561" s="35"/>
      <c r="C561" s="35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</row>
    <row r="562">
      <c r="A562" s="35"/>
      <c r="B562" s="35"/>
      <c r="C562" s="35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</row>
    <row r="563">
      <c r="A563" s="35"/>
      <c r="B563" s="35"/>
      <c r="C563" s="35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</row>
    <row r="564">
      <c r="A564" s="35"/>
      <c r="B564" s="35"/>
      <c r="C564" s="35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</row>
    <row r="565">
      <c r="A565" s="35"/>
      <c r="B565" s="35"/>
      <c r="C565" s="35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</row>
    <row r="566">
      <c r="A566" s="35"/>
      <c r="B566" s="35"/>
      <c r="C566" s="35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</row>
    <row r="567">
      <c r="A567" s="35"/>
      <c r="B567" s="35"/>
      <c r="C567" s="35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</row>
    <row r="568">
      <c r="A568" s="35"/>
      <c r="B568" s="35"/>
      <c r="C568" s="35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</row>
    <row r="569">
      <c r="A569" s="35"/>
      <c r="B569" s="35"/>
      <c r="C569" s="35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</row>
    <row r="570">
      <c r="A570" s="35"/>
      <c r="B570" s="35"/>
      <c r="C570" s="35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</row>
    <row r="571">
      <c r="A571" s="35"/>
      <c r="B571" s="35"/>
      <c r="C571" s="35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</row>
    <row r="572">
      <c r="A572" s="35"/>
      <c r="B572" s="35"/>
      <c r="C572" s="35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</row>
    <row r="573">
      <c r="A573" s="35"/>
      <c r="B573" s="35"/>
      <c r="C573" s="35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</row>
    <row r="574">
      <c r="A574" s="35"/>
      <c r="B574" s="35"/>
      <c r="C574" s="35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</row>
    <row r="575">
      <c r="A575" s="35"/>
      <c r="B575" s="35"/>
      <c r="C575" s="35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</row>
    <row r="576">
      <c r="A576" s="35"/>
      <c r="B576" s="35"/>
      <c r="C576" s="35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</row>
    <row r="577">
      <c r="A577" s="35"/>
      <c r="B577" s="35"/>
      <c r="C577" s="35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</row>
    <row r="578">
      <c r="A578" s="35"/>
      <c r="B578" s="35"/>
      <c r="C578" s="35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</row>
    <row r="579">
      <c r="A579" s="35"/>
      <c r="B579" s="35"/>
      <c r="C579" s="35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</row>
    <row r="580">
      <c r="A580" s="35"/>
      <c r="B580" s="35"/>
      <c r="C580" s="35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</row>
    <row r="581">
      <c r="A581" s="35"/>
      <c r="B581" s="35"/>
      <c r="C581" s="35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</row>
    <row r="582">
      <c r="A582" s="35"/>
      <c r="B582" s="35"/>
      <c r="C582" s="35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</row>
    <row r="583">
      <c r="A583" s="35"/>
      <c r="B583" s="35"/>
      <c r="C583" s="35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</row>
    <row r="584">
      <c r="A584" s="35"/>
      <c r="B584" s="35"/>
      <c r="C584" s="35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</row>
    <row r="585">
      <c r="A585" s="35"/>
      <c r="B585" s="35"/>
      <c r="C585" s="35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</row>
    <row r="586">
      <c r="A586" s="35"/>
      <c r="B586" s="35"/>
      <c r="C586" s="35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</row>
    <row r="587">
      <c r="A587" s="35"/>
      <c r="B587" s="35"/>
      <c r="C587" s="35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</row>
    <row r="588">
      <c r="A588" s="35"/>
      <c r="B588" s="35"/>
      <c r="C588" s="35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</row>
    <row r="589">
      <c r="A589" s="35"/>
      <c r="B589" s="35"/>
      <c r="C589" s="35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</row>
    <row r="590">
      <c r="A590" s="35"/>
      <c r="B590" s="35"/>
      <c r="C590" s="35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</row>
    <row r="591">
      <c r="A591" s="35"/>
      <c r="B591" s="35"/>
      <c r="C591" s="35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</row>
    <row r="592">
      <c r="A592" s="35"/>
      <c r="B592" s="35"/>
      <c r="C592" s="35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</row>
    <row r="593">
      <c r="A593" s="35"/>
      <c r="B593" s="35"/>
      <c r="C593" s="35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</row>
    <row r="594">
      <c r="A594" s="35"/>
      <c r="B594" s="35"/>
      <c r="C594" s="35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</row>
    <row r="595">
      <c r="A595" s="35"/>
      <c r="B595" s="35"/>
      <c r="C595" s="35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</row>
    <row r="596">
      <c r="A596" s="35"/>
      <c r="B596" s="35"/>
      <c r="C596" s="35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</row>
    <row r="597">
      <c r="A597" s="35"/>
      <c r="B597" s="35"/>
      <c r="C597" s="35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</row>
    <row r="598">
      <c r="A598" s="35"/>
      <c r="B598" s="35"/>
      <c r="C598" s="35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</row>
    <row r="599">
      <c r="A599" s="35"/>
      <c r="B599" s="35"/>
      <c r="C599" s="35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</row>
    <row r="600">
      <c r="A600" s="35"/>
      <c r="B600" s="35"/>
      <c r="C600" s="35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</row>
    <row r="601">
      <c r="A601" s="35"/>
      <c r="B601" s="35"/>
      <c r="C601" s="35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</row>
    <row r="602">
      <c r="A602" s="35"/>
      <c r="B602" s="35"/>
      <c r="C602" s="35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</row>
    <row r="603">
      <c r="A603" s="35"/>
      <c r="B603" s="35"/>
      <c r="C603" s="35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</row>
    <row r="604">
      <c r="A604" s="35"/>
      <c r="B604" s="35"/>
      <c r="C604" s="35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</row>
    <row r="605">
      <c r="A605" s="35"/>
      <c r="B605" s="35"/>
      <c r="C605" s="35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</row>
    <row r="606">
      <c r="A606" s="35"/>
      <c r="B606" s="35"/>
      <c r="C606" s="35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</row>
    <row r="607">
      <c r="A607" s="35"/>
      <c r="B607" s="35"/>
      <c r="C607" s="35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</row>
    <row r="608">
      <c r="A608" s="35"/>
      <c r="B608" s="35"/>
      <c r="C608" s="35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</row>
    <row r="609">
      <c r="A609" s="35"/>
      <c r="B609" s="35"/>
      <c r="C609" s="35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</row>
    <row r="610">
      <c r="A610" s="35"/>
      <c r="B610" s="35"/>
      <c r="C610" s="35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</row>
    <row r="611">
      <c r="A611" s="35"/>
      <c r="B611" s="35"/>
      <c r="C611" s="35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</row>
    <row r="612">
      <c r="A612" s="35"/>
      <c r="B612" s="35"/>
      <c r="C612" s="35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</row>
    <row r="613">
      <c r="A613" s="35"/>
      <c r="B613" s="35"/>
      <c r="C613" s="35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</row>
    <row r="614">
      <c r="A614" s="35"/>
      <c r="B614" s="35"/>
      <c r="C614" s="35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</row>
    <row r="615">
      <c r="A615" s="35"/>
      <c r="B615" s="35"/>
      <c r="C615" s="35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</row>
    <row r="616">
      <c r="A616" s="35"/>
      <c r="B616" s="35"/>
      <c r="C616" s="35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</row>
    <row r="617">
      <c r="A617" s="35"/>
      <c r="B617" s="35"/>
      <c r="C617" s="35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</row>
    <row r="618">
      <c r="A618" s="35"/>
      <c r="B618" s="35"/>
      <c r="C618" s="35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</row>
    <row r="619">
      <c r="A619" s="35"/>
      <c r="B619" s="35"/>
      <c r="C619" s="35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</row>
    <row r="620">
      <c r="A620" s="35"/>
      <c r="B620" s="35"/>
      <c r="C620" s="35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</row>
    <row r="621">
      <c r="A621" s="35"/>
      <c r="B621" s="35"/>
      <c r="C621" s="35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</row>
    <row r="622">
      <c r="A622" s="35"/>
      <c r="B622" s="35"/>
      <c r="C622" s="35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</row>
    <row r="623">
      <c r="A623" s="35"/>
      <c r="B623" s="35"/>
      <c r="C623" s="35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</row>
    <row r="624">
      <c r="A624" s="35"/>
      <c r="B624" s="35"/>
      <c r="C624" s="35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</row>
    <row r="625">
      <c r="A625" s="35"/>
      <c r="B625" s="35"/>
      <c r="C625" s="35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</row>
    <row r="626">
      <c r="A626" s="35"/>
      <c r="B626" s="35"/>
      <c r="C626" s="35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</row>
    <row r="627">
      <c r="A627" s="35"/>
      <c r="B627" s="35"/>
      <c r="C627" s="35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</row>
    <row r="628">
      <c r="A628" s="35"/>
      <c r="B628" s="35"/>
      <c r="C628" s="35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</row>
    <row r="629">
      <c r="A629" s="35"/>
      <c r="B629" s="35"/>
      <c r="C629" s="35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</row>
    <row r="630">
      <c r="A630" s="35"/>
      <c r="B630" s="35"/>
      <c r="C630" s="35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</row>
    <row r="631">
      <c r="A631" s="35"/>
      <c r="B631" s="35"/>
      <c r="C631" s="35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</row>
    <row r="632">
      <c r="A632" s="35"/>
      <c r="B632" s="35"/>
      <c r="C632" s="35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</row>
    <row r="633">
      <c r="A633" s="35"/>
      <c r="B633" s="35"/>
      <c r="C633" s="35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</row>
    <row r="634">
      <c r="A634" s="35"/>
      <c r="B634" s="35"/>
      <c r="C634" s="35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</row>
    <row r="635">
      <c r="A635" s="35"/>
      <c r="B635" s="35"/>
      <c r="C635" s="35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</row>
    <row r="636">
      <c r="A636" s="35"/>
      <c r="B636" s="35"/>
      <c r="C636" s="35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</row>
    <row r="637">
      <c r="A637" s="35"/>
      <c r="B637" s="35"/>
      <c r="C637" s="35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</row>
    <row r="638">
      <c r="A638" s="35"/>
      <c r="B638" s="35"/>
      <c r="C638" s="35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</row>
    <row r="639">
      <c r="A639" s="35"/>
      <c r="B639" s="35"/>
      <c r="C639" s="35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</row>
    <row r="640">
      <c r="A640" s="35"/>
      <c r="B640" s="35"/>
      <c r="C640" s="35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</row>
    <row r="641">
      <c r="A641" s="35"/>
      <c r="B641" s="35"/>
      <c r="C641" s="35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</row>
    <row r="642">
      <c r="A642" s="35"/>
      <c r="B642" s="35"/>
      <c r="C642" s="35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</row>
    <row r="643">
      <c r="A643" s="35"/>
      <c r="B643" s="35"/>
      <c r="C643" s="35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</row>
    <row r="644">
      <c r="A644" s="35"/>
      <c r="B644" s="35"/>
      <c r="C644" s="35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</row>
    <row r="645">
      <c r="A645" s="35"/>
      <c r="B645" s="35"/>
      <c r="C645" s="35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</row>
    <row r="646">
      <c r="A646" s="35"/>
      <c r="B646" s="35"/>
      <c r="C646" s="35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</row>
    <row r="647">
      <c r="A647" s="35"/>
      <c r="B647" s="35"/>
      <c r="C647" s="35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</row>
    <row r="648">
      <c r="A648" s="35"/>
      <c r="B648" s="35"/>
      <c r="C648" s="35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</row>
    <row r="649">
      <c r="A649" s="35"/>
      <c r="B649" s="35"/>
      <c r="C649" s="35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</row>
    <row r="650">
      <c r="A650" s="35"/>
      <c r="B650" s="35"/>
      <c r="C650" s="35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</row>
    <row r="651">
      <c r="A651" s="35"/>
      <c r="B651" s="35"/>
      <c r="C651" s="35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</row>
    <row r="652">
      <c r="A652" s="35"/>
      <c r="B652" s="35"/>
      <c r="C652" s="35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</row>
    <row r="653">
      <c r="A653" s="35"/>
      <c r="B653" s="35"/>
      <c r="C653" s="35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</row>
    <row r="654">
      <c r="A654" s="35"/>
      <c r="B654" s="35"/>
      <c r="C654" s="35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</row>
    <row r="655">
      <c r="A655" s="35"/>
      <c r="B655" s="35"/>
      <c r="C655" s="35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</row>
    <row r="656">
      <c r="A656" s="35"/>
      <c r="B656" s="35"/>
      <c r="C656" s="35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</row>
    <row r="657">
      <c r="A657" s="35"/>
      <c r="B657" s="35"/>
      <c r="C657" s="35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</row>
    <row r="658">
      <c r="A658" s="35"/>
      <c r="B658" s="35"/>
      <c r="C658" s="35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</row>
    <row r="659">
      <c r="A659" s="35"/>
      <c r="B659" s="35"/>
      <c r="C659" s="35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</row>
    <row r="660">
      <c r="A660" s="35"/>
      <c r="B660" s="35"/>
      <c r="C660" s="35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</row>
    <row r="661">
      <c r="A661" s="35"/>
      <c r="B661" s="35"/>
      <c r="C661" s="35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</row>
    <row r="662">
      <c r="A662" s="35"/>
      <c r="B662" s="35"/>
      <c r="C662" s="35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</row>
    <row r="663">
      <c r="A663" s="35"/>
      <c r="B663" s="35"/>
      <c r="C663" s="35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</row>
    <row r="664">
      <c r="A664" s="35"/>
      <c r="B664" s="35"/>
      <c r="C664" s="35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</row>
    <row r="665">
      <c r="A665" s="35"/>
      <c r="B665" s="35"/>
      <c r="C665" s="35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</row>
    <row r="666">
      <c r="A666" s="35"/>
      <c r="B666" s="35"/>
      <c r="C666" s="35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</row>
    <row r="667">
      <c r="A667" s="35"/>
      <c r="B667" s="35"/>
      <c r="C667" s="35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</row>
    <row r="668">
      <c r="A668" s="35"/>
      <c r="B668" s="35"/>
      <c r="C668" s="35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</row>
    <row r="669">
      <c r="A669" s="35"/>
      <c r="B669" s="35"/>
      <c r="C669" s="35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</row>
    <row r="670">
      <c r="A670" s="35"/>
      <c r="B670" s="35"/>
      <c r="C670" s="35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</row>
    <row r="671">
      <c r="A671" s="35"/>
      <c r="B671" s="35"/>
      <c r="C671" s="35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</row>
    <row r="672">
      <c r="A672" s="35"/>
      <c r="B672" s="35"/>
      <c r="C672" s="35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</row>
    <row r="673">
      <c r="A673" s="35"/>
      <c r="B673" s="35"/>
      <c r="C673" s="35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</row>
    <row r="674">
      <c r="A674" s="35"/>
      <c r="B674" s="35"/>
      <c r="C674" s="35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</row>
    <row r="675">
      <c r="A675" s="35"/>
      <c r="B675" s="35"/>
      <c r="C675" s="35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</row>
    <row r="676">
      <c r="A676" s="35"/>
      <c r="B676" s="35"/>
      <c r="C676" s="35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</row>
    <row r="677">
      <c r="A677" s="35"/>
      <c r="B677" s="35"/>
      <c r="C677" s="35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</row>
    <row r="678">
      <c r="A678" s="35"/>
      <c r="B678" s="35"/>
      <c r="C678" s="35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</row>
    <row r="679">
      <c r="A679" s="35"/>
      <c r="B679" s="35"/>
      <c r="C679" s="35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</row>
    <row r="680">
      <c r="A680" s="35"/>
      <c r="B680" s="35"/>
      <c r="C680" s="35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</row>
    <row r="681">
      <c r="A681" s="35"/>
      <c r="B681" s="35"/>
      <c r="C681" s="35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</row>
    <row r="682">
      <c r="A682" s="35"/>
      <c r="B682" s="35"/>
      <c r="C682" s="35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</row>
    <row r="683">
      <c r="A683" s="35"/>
      <c r="B683" s="35"/>
      <c r="C683" s="35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</row>
    <row r="684">
      <c r="A684" s="35"/>
      <c r="B684" s="35"/>
      <c r="C684" s="35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</row>
    <row r="685">
      <c r="A685" s="35"/>
      <c r="B685" s="35"/>
      <c r="C685" s="35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</row>
    <row r="686">
      <c r="A686" s="35"/>
      <c r="B686" s="35"/>
      <c r="C686" s="35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</row>
    <row r="687">
      <c r="A687" s="35"/>
      <c r="B687" s="35"/>
      <c r="C687" s="35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</row>
    <row r="688">
      <c r="A688" s="35"/>
      <c r="B688" s="35"/>
      <c r="C688" s="35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</row>
    <row r="689">
      <c r="A689" s="35"/>
      <c r="B689" s="35"/>
      <c r="C689" s="35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</row>
    <row r="690">
      <c r="A690" s="35"/>
      <c r="B690" s="35"/>
      <c r="C690" s="35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</row>
    <row r="691">
      <c r="A691" s="35"/>
      <c r="B691" s="35"/>
      <c r="C691" s="35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</row>
    <row r="692">
      <c r="A692" s="35"/>
      <c r="B692" s="35"/>
      <c r="C692" s="35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</row>
    <row r="693">
      <c r="A693" s="35"/>
      <c r="B693" s="35"/>
      <c r="C693" s="35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</row>
    <row r="694">
      <c r="A694" s="35"/>
      <c r="B694" s="35"/>
      <c r="C694" s="35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</row>
    <row r="695">
      <c r="A695" s="35"/>
      <c r="B695" s="35"/>
      <c r="C695" s="35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</row>
    <row r="696">
      <c r="A696" s="35"/>
      <c r="B696" s="35"/>
      <c r="C696" s="35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</row>
    <row r="697">
      <c r="A697" s="35"/>
      <c r="B697" s="35"/>
      <c r="C697" s="35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</row>
    <row r="698">
      <c r="A698" s="35"/>
      <c r="B698" s="35"/>
      <c r="C698" s="35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</row>
    <row r="699">
      <c r="A699" s="35"/>
      <c r="B699" s="35"/>
      <c r="C699" s="35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</row>
    <row r="700">
      <c r="A700" s="35"/>
      <c r="B700" s="35"/>
      <c r="C700" s="35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</row>
    <row r="701">
      <c r="A701" s="35"/>
      <c r="B701" s="35"/>
      <c r="C701" s="35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</row>
    <row r="702">
      <c r="A702" s="35"/>
      <c r="B702" s="35"/>
      <c r="C702" s="35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</row>
    <row r="703">
      <c r="A703" s="35"/>
      <c r="B703" s="35"/>
      <c r="C703" s="35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</row>
    <row r="704">
      <c r="A704" s="35"/>
      <c r="B704" s="35"/>
      <c r="C704" s="35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</row>
    <row r="705">
      <c r="A705" s="35"/>
      <c r="B705" s="35"/>
      <c r="C705" s="35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</row>
    <row r="706">
      <c r="A706" s="35"/>
      <c r="B706" s="35"/>
      <c r="C706" s="35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</row>
    <row r="707">
      <c r="A707" s="35"/>
      <c r="B707" s="35"/>
      <c r="C707" s="35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</row>
    <row r="708">
      <c r="A708" s="35"/>
      <c r="B708" s="35"/>
      <c r="C708" s="35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</row>
    <row r="709">
      <c r="A709" s="35"/>
      <c r="B709" s="35"/>
      <c r="C709" s="35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</row>
    <row r="710">
      <c r="A710" s="35"/>
      <c r="B710" s="35"/>
      <c r="C710" s="35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</row>
    <row r="711">
      <c r="A711" s="35"/>
      <c r="B711" s="35"/>
      <c r="C711" s="35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</row>
    <row r="712">
      <c r="A712" s="35"/>
      <c r="B712" s="35"/>
      <c r="C712" s="35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</row>
    <row r="713">
      <c r="A713" s="35"/>
      <c r="B713" s="35"/>
      <c r="C713" s="35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</row>
    <row r="714">
      <c r="A714" s="35"/>
      <c r="B714" s="35"/>
      <c r="C714" s="35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</row>
    <row r="715">
      <c r="A715" s="35"/>
      <c r="B715" s="35"/>
      <c r="C715" s="35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</row>
    <row r="716">
      <c r="A716" s="35"/>
      <c r="B716" s="35"/>
      <c r="C716" s="35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</row>
    <row r="717">
      <c r="A717" s="35"/>
      <c r="B717" s="35"/>
      <c r="C717" s="35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</row>
    <row r="718">
      <c r="A718" s="35"/>
      <c r="B718" s="35"/>
      <c r="C718" s="35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</row>
    <row r="719">
      <c r="A719" s="35"/>
      <c r="B719" s="35"/>
      <c r="C719" s="35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</row>
    <row r="720">
      <c r="A720" s="35"/>
      <c r="B720" s="35"/>
      <c r="C720" s="35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</row>
    <row r="721">
      <c r="A721" s="35"/>
      <c r="B721" s="35"/>
      <c r="C721" s="35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</row>
    <row r="722">
      <c r="A722" s="35"/>
      <c r="B722" s="35"/>
      <c r="C722" s="35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</row>
    <row r="723">
      <c r="A723" s="35"/>
      <c r="B723" s="35"/>
      <c r="C723" s="35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</row>
    <row r="724">
      <c r="A724" s="35"/>
      <c r="B724" s="35"/>
      <c r="C724" s="35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</row>
    <row r="725">
      <c r="A725" s="35"/>
      <c r="B725" s="35"/>
      <c r="C725" s="35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</row>
    <row r="726">
      <c r="A726" s="35"/>
      <c r="B726" s="35"/>
      <c r="C726" s="35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</row>
    <row r="727">
      <c r="A727" s="35"/>
      <c r="B727" s="35"/>
      <c r="C727" s="35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</row>
    <row r="728">
      <c r="A728" s="35"/>
      <c r="B728" s="35"/>
      <c r="C728" s="35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</row>
    <row r="729">
      <c r="A729" s="35"/>
      <c r="B729" s="35"/>
      <c r="C729" s="35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</row>
    <row r="730">
      <c r="A730" s="35"/>
      <c r="B730" s="35"/>
      <c r="C730" s="35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</row>
    <row r="731">
      <c r="A731" s="35"/>
      <c r="B731" s="35"/>
      <c r="C731" s="35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</row>
    <row r="732">
      <c r="A732" s="35"/>
      <c r="B732" s="35"/>
      <c r="C732" s="35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</row>
    <row r="733">
      <c r="A733" s="35"/>
      <c r="B733" s="35"/>
      <c r="C733" s="35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</row>
    <row r="734">
      <c r="A734" s="35"/>
      <c r="B734" s="35"/>
      <c r="C734" s="35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</row>
    <row r="735">
      <c r="A735" s="35"/>
      <c r="B735" s="35"/>
      <c r="C735" s="35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</row>
    <row r="736">
      <c r="A736" s="35"/>
      <c r="B736" s="35"/>
      <c r="C736" s="35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</row>
    <row r="737">
      <c r="A737" s="35"/>
      <c r="B737" s="35"/>
      <c r="C737" s="35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</row>
    <row r="738">
      <c r="A738" s="35"/>
      <c r="B738" s="35"/>
      <c r="C738" s="35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</row>
    <row r="739">
      <c r="A739" s="35"/>
      <c r="B739" s="35"/>
      <c r="C739" s="35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</row>
    <row r="740">
      <c r="A740" s="35"/>
      <c r="B740" s="35"/>
      <c r="C740" s="35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</row>
    <row r="741">
      <c r="A741" s="35"/>
      <c r="B741" s="35"/>
      <c r="C741" s="35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</row>
    <row r="742">
      <c r="A742" s="35"/>
      <c r="B742" s="35"/>
      <c r="C742" s="35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</row>
    <row r="743">
      <c r="A743" s="35"/>
      <c r="B743" s="35"/>
      <c r="C743" s="35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</row>
    <row r="744">
      <c r="A744" s="35"/>
      <c r="B744" s="35"/>
      <c r="C744" s="35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</row>
    <row r="745">
      <c r="A745" s="35"/>
      <c r="B745" s="35"/>
      <c r="C745" s="35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</row>
    <row r="746">
      <c r="A746" s="35"/>
      <c r="B746" s="35"/>
      <c r="C746" s="35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</row>
    <row r="747">
      <c r="A747" s="35"/>
      <c r="B747" s="35"/>
      <c r="C747" s="35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</row>
    <row r="748">
      <c r="A748" s="35"/>
      <c r="B748" s="35"/>
      <c r="C748" s="35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</row>
    <row r="749">
      <c r="A749" s="35"/>
      <c r="B749" s="35"/>
      <c r="C749" s="35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</row>
    <row r="750">
      <c r="A750" s="35"/>
      <c r="B750" s="35"/>
      <c r="C750" s="35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</row>
    <row r="751">
      <c r="A751" s="35"/>
      <c r="B751" s="35"/>
      <c r="C751" s="35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</row>
    <row r="752">
      <c r="A752" s="35"/>
      <c r="B752" s="35"/>
      <c r="C752" s="35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</row>
    <row r="753">
      <c r="A753" s="35"/>
      <c r="B753" s="35"/>
      <c r="C753" s="35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</row>
    <row r="754">
      <c r="A754" s="35"/>
      <c r="B754" s="35"/>
      <c r="C754" s="35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</row>
    <row r="755">
      <c r="A755" s="35"/>
      <c r="B755" s="35"/>
      <c r="C755" s="35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</row>
    <row r="756">
      <c r="A756" s="35"/>
      <c r="B756" s="35"/>
      <c r="C756" s="35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</row>
    <row r="757">
      <c r="A757" s="35"/>
      <c r="B757" s="35"/>
      <c r="C757" s="35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</row>
    <row r="758">
      <c r="A758" s="35"/>
      <c r="B758" s="35"/>
      <c r="C758" s="35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</row>
    <row r="759">
      <c r="A759" s="35"/>
      <c r="B759" s="35"/>
      <c r="C759" s="35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</row>
    <row r="760">
      <c r="A760" s="35"/>
      <c r="B760" s="35"/>
      <c r="C760" s="35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</row>
    <row r="761">
      <c r="A761" s="35"/>
      <c r="B761" s="35"/>
      <c r="C761" s="35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</row>
    <row r="762">
      <c r="A762" s="35"/>
      <c r="B762" s="35"/>
      <c r="C762" s="35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</row>
    <row r="763">
      <c r="A763" s="35"/>
      <c r="B763" s="35"/>
      <c r="C763" s="35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</row>
    <row r="764">
      <c r="A764" s="35"/>
      <c r="B764" s="35"/>
      <c r="C764" s="35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</row>
    <row r="765">
      <c r="A765" s="35"/>
      <c r="B765" s="35"/>
      <c r="C765" s="35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</row>
    <row r="766">
      <c r="A766" s="35"/>
      <c r="B766" s="35"/>
      <c r="C766" s="35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</row>
    <row r="767">
      <c r="A767" s="35"/>
      <c r="B767" s="35"/>
      <c r="C767" s="35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</row>
    <row r="768">
      <c r="A768" s="35"/>
      <c r="B768" s="35"/>
      <c r="C768" s="35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</row>
    <row r="769">
      <c r="A769" s="35"/>
      <c r="B769" s="35"/>
      <c r="C769" s="35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</row>
    <row r="770">
      <c r="A770" s="35"/>
      <c r="B770" s="35"/>
      <c r="C770" s="35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</row>
    <row r="771">
      <c r="A771" s="35"/>
      <c r="B771" s="35"/>
      <c r="C771" s="35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</row>
    <row r="772">
      <c r="A772" s="35"/>
      <c r="B772" s="35"/>
      <c r="C772" s="35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</row>
    <row r="773">
      <c r="A773" s="35"/>
      <c r="B773" s="35"/>
      <c r="C773" s="35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</row>
    <row r="774">
      <c r="A774" s="35"/>
      <c r="B774" s="35"/>
      <c r="C774" s="35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</row>
    <row r="775">
      <c r="A775" s="35"/>
      <c r="B775" s="35"/>
      <c r="C775" s="35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</row>
    <row r="776">
      <c r="A776" s="35"/>
      <c r="B776" s="35"/>
      <c r="C776" s="35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</row>
    <row r="777">
      <c r="A777" s="35"/>
      <c r="B777" s="35"/>
      <c r="C777" s="35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</row>
    <row r="778">
      <c r="A778" s="35"/>
      <c r="B778" s="35"/>
      <c r="C778" s="35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</row>
    <row r="779">
      <c r="A779" s="35"/>
      <c r="B779" s="35"/>
      <c r="C779" s="35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</row>
    <row r="780">
      <c r="A780" s="35"/>
      <c r="B780" s="35"/>
      <c r="C780" s="35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</row>
    <row r="781">
      <c r="A781" s="35"/>
      <c r="B781" s="35"/>
      <c r="C781" s="35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</row>
    <row r="782">
      <c r="A782" s="35"/>
      <c r="B782" s="35"/>
      <c r="C782" s="35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</row>
    <row r="783">
      <c r="A783" s="35"/>
      <c r="B783" s="35"/>
      <c r="C783" s="35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</row>
    <row r="784">
      <c r="A784" s="35"/>
      <c r="B784" s="35"/>
      <c r="C784" s="35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</row>
    <row r="785">
      <c r="A785" s="35"/>
      <c r="B785" s="35"/>
      <c r="C785" s="35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</row>
    <row r="786">
      <c r="A786" s="35"/>
      <c r="B786" s="35"/>
      <c r="C786" s="35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</row>
    <row r="787">
      <c r="A787" s="35"/>
      <c r="B787" s="35"/>
      <c r="C787" s="35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</row>
    <row r="788">
      <c r="A788" s="35"/>
      <c r="B788" s="35"/>
      <c r="C788" s="35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</row>
    <row r="789">
      <c r="A789" s="35"/>
      <c r="B789" s="35"/>
      <c r="C789" s="35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</row>
    <row r="790">
      <c r="A790" s="35"/>
      <c r="B790" s="35"/>
      <c r="C790" s="35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</row>
    <row r="791">
      <c r="A791" s="35"/>
      <c r="B791" s="35"/>
      <c r="C791" s="35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</row>
    <row r="792">
      <c r="A792" s="35"/>
      <c r="B792" s="35"/>
      <c r="C792" s="35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</row>
    <row r="793">
      <c r="A793" s="35"/>
      <c r="B793" s="35"/>
      <c r="C793" s="35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</row>
    <row r="794">
      <c r="A794" s="35"/>
      <c r="B794" s="35"/>
      <c r="C794" s="35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</row>
    <row r="795">
      <c r="A795" s="35"/>
      <c r="B795" s="35"/>
      <c r="C795" s="35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</row>
    <row r="796">
      <c r="A796" s="35"/>
      <c r="B796" s="35"/>
      <c r="C796" s="35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</row>
    <row r="797">
      <c r="A797" s="35"/>
      <c r="B797" s="35"/>
      <c r="C797" s="35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</row>
    <row r="798">
      <c r="A798" s="35"/>
      <c r="B798" s="35"/>
      <c r="C798" s="35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</row>
    <row r="799">
      <c r="A799" s="35"/>
      <c r="B799" s="35"/>
      <c r="C799" s="35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</row>
    <row r="800">
      <c r="A800" s="35"/>
      <c r="B800" s="35"/>
      <c r="C800" s="35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</row>
    <row r="801">
      <c r="A801" s="35"/>
      <c r="B801" s="35"/>
      <c r="C801" s="35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</row>
    <row r="802">
      <c r="A802" s="35"/>
      <c r="B802" s="35"/>
      <c r="C802" s="35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</row>
    <row r="803">
      <c r="A803" s="35"/>
      <c r="B803" s="35"/>
      <c r="C803" s="35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</row>
    <row r="804">
      <c r="A804" s="35"/>
      <c r="B804" s="35"/>
      <c r="C804" s="35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</row>
    <row r="805">
      <c r="A805" s="35"/>
      <c r="B805" s="35"/>
      <c r="C805" s="35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</row>
    <row r="806">
      <c r="A806" s="35"/>
      <c r="B806" s="35"/>
      <c r="C806" s="35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</row>
    <row r="807">
      <c r="A807" s="35"/>
      <c r="B807" s="35"/>
      <c r="C807" s="35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</row>
    <row r="808">
      <c r="A808" s="35"/>
      <c r="B808" s="35"/>
      <c r="C808" s="35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</row>
    <row r="809">
      <c r="A809" s="35"/>
      <c r="B809" s="35"/>
      <c r="C809" s="35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</row>
    <row r="810">
      <c r="A810" s="35"/>
      <c r="B810" s="35"/>
      <c r="C810" s="35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</row>
    <row r="811">
      <c r="A811" s="35"/>
      <c r="B811" s="35"/>
      <c r="C811" s="35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</row>
    <row r="812">
      <c r="A812" s="35"/>
      <c r="B812" s="35"/>
      <c r="C812" s="35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</row>
    <row r="813">
      <c r="A813" s="35"/>
      <c r="B813" s="35"/>
      <c r="C813" s="35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</row>
    <row r="814">
      <c r="A814" s="35"/>
      <c r="B814" s="35"/>
      <c r="C814" s="35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</row>
    <row r="815">
      <c r="A815" s="35"/>
      <c r="B815" s="35"/>
      <c r="C815" s="35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</row>
    <row r="816">
      <c r="A816" s="35"/>
      <c r="B816" s="35"/>
      <c r="C816" s="35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</row>
    <row r="817">
      <c r="A817" s="35"/>
      <c r="B817" s="35"/>
      <c r="C817" s="35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</row>
    <row r="818">
      <c r="A818" s="35"/>
      <c r="B818" s="35"/>
      <c r="C818" s="35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</row>
    <row r="819">
      <c r="A819" s="35"/>
      <c r="B819" s="35"/>
      <c r="C819" s="35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</row>
    <row r="820">
      <c r="A820" s="35"/>
      <c r="B820" s="35"/>
      <c r="C820" s="35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</row>
    <row r="821">
      <c r="A821" s="35"/>
      <c r="B821" s="35"/>
      <c r="C821" s="35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</row>
    <row r="822">
      <c r="A822" s="35"/>
      <c r="B822" s="35"/>
      <c r="C822" s="35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</row>
    <row r="823">
      <c r="A823" s="35"/>
      <c r="B823" s="35"/>
      <c r="C823" s="35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</row>
    <row r="824">
      <c r="A824" s="35"/>
      <c r="B824" s="35"/>
      <c r="C824" s="35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</row>
    <row r="825">
      <c r="A825" s="35"/>
      <c r="B825" s="35"/>
      <c r="C825" s="35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</row>
    <row r="826">
      <c r="A826" s="35"/>
      <c r="B826" s="35"/>
      <c r="C826" s="35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</row>
    <row r="827">
      <c r="A827" s="35"/>
      <c r="B827" s="35"/>
      <c r="C827" s="35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</row>
    <row r="828">
      <c r="A828" s="35"/>
      <c r="B828" s="35"/>
      <c r="C828" s="35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</row>
    <row r="829">
      <c r="A829" s="35"/>
      <c r="B829" s="35"/>
      <c r="C829" s="35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</row>
    <row r="830">
      <c r="A830" s="35"/>
      <c r="B830" s="35"/>
      <c r="C830" s="35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</row>
    <row r="831">
      <c r="A831" s="35"/>
      <c r="B831" s="35"/>
      <c r="C831" s="35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</row>
    <row r="832">
      <c r="A832" s="35"/>
      <c r="B832" s="35"/>
      <c r="C832" s="35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</row>
    <row r="833">
      <c r="A833" s="35"/>
      <c r="B833" s="35"/>
      <c r="C833" s="35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</row>
    <row r="834">
      <c r="A834" s="35"/>
      <c r="B834" s="35"/>
      <c r="C834" s="35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</row>
    <row r="835">
      <c r="A835" s="35"/>
      <c r="B835" s="35"/>
      <c r="C835" s="35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</row>
    <row r="836">
      <c r="A836" s="35"/>
      <c r="B836" s="35"/>
      <c r="C836" s="35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</row>
    <row r="837">
      <c r="A837" s="35"/>
      <c r="B837" s="35"/>
      <c r="C837" s="35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</row>
    <row r="838">
      <c r="A838" s="35"/>
      <c r="B838" s="35"/>
      <c r="C838" s="35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</row>
    <row r="839">
      <c r="A839" s="35"/>
      <c r="B839" s="35"/>
      <c r="C839" s="35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</row>
    <row r="840">
      <c r="A840" s="35"/>
      <c r="B840" s="35"/>
      <c r="C840" s="35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</row>
    <row r="841">
      <c r="A841" s="35"/>
      <c r="B841" s="35"/>
      <c r="C841" s="35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</row>
    <row r="842">
      <c r="A842" s="35"/>
      <c r="B842" s="35"/>
      <c r="C842" s="35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</row>
    <row r="843">
      <c r="A843" s="35"/>
      <c r="B843" s="35"/>
      <c r="C843" s="35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</row>
    <row r="844">
      <c r="A844" s="35"/>
      <c r="B844" s="35"/>
      <c r="C844" s="35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</row>
    <row r="845">
      <c r="A845" s="35"/>
      <c r="B845" s="35"/>
      <c r="C845" s="35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</row>
    <row r="846">
      <c r="A846" s="35"/>
      <c r="B846" s="35"/>
      <c r="C846" s="35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</row>
    <row r="847">
      <c r="A847" s="35"/>
      <c r="B847" s="35"/>
      <c r="C847" s="35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</row>
    <row r="848">
      <c r="A848" s="35"/>
      <c r="B848" s="35"/>
      <c r="C848" s="35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</row>
    <row r="849">
      <c r="A849" s="35"/>
      <c r="B849" s="35"/>
      <c r="C849" s="35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</row>
    <row r="850">
      <c r="A850" s="35"/>
      <c r="B850" s="35"/>
      <c r="C850" s="35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</row>
    <row r="851">
      <c r="A851" s="35"/>
      <c r="B851" s="35"/>
      <c r="C851" s="35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</row>
    <row r="852">
      <c r="A852" s="35"/>
      <c r="B852" s="35"/>
      <c r="C852" s="35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</row>
    <row r="853">
      <c r="A853" s="35"/>
      <c r="B853" s="35"/>
      <c r="C853" s="35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</row>
    <row r="854">
      <c r="A854" s="35"/>
      <c r="B854" s="35"/>
      <c r="C854" s="35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</row>
    <row r="855">
      <c r="A855" s="35"/>
      <c r="B855" s="35"/>
      <c r="C855" s="35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</row>
    <row r="856">
      <c r="A856" s="35"/>
      <c r="B856" s="35"/>
      <c r="C856" s="35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</row>
    <row r="857">
      <c r="A857" s="35"/>
      <c r="B857" s="35"/>
      <c r="C857" s="35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</row>
    <row r="858">
      <c r="A858" s="35"/>
      <c r="B858" s="35"/>
      <c r="C858" s="35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</row>
    <row r="859">
      <c r="A859" s="35"/>
      <c r="B859" s="35"/>
      <c r="C859" s="35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</row>
    <row r="860">
      <c r="A860" s="35"/>
      <c r="B860" s="35"/>
      <c r="C860" s="35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</row>
    <row r="861">
      <c r="A861" s="35"/>
      <c r="B861" s="35"/>
      <c r="C861" s="35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</row>
    <row r="862">
      <c r="A862" s="35"/>
      <c r="B862" s="35"/>
      <c r="C862" s="35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</row>
    <row r="863">
      <c r="A863" s="35"/>
      <c r="B863" s="35"/>
      <c r="C863" s="35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</row>
    <row r="864">
      <c r="A864" s="35"/>
      <c r="B864" s="35"/>
      <c r="C864" s="35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</row>
    <row r="865">
      <c r="A865" s="35"/>
      <c r="B865" s="35"/>
      <c r="C865" s="35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</row>
    <row r="866">
      <c r="A866" s="35"/>
      <c r="B866" s="35"/>
      <c r="C866" s="35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</row>
    <row r="867">
      <c r="A867" s="35"/>
      <c r="B867" s="35"/>
      <c r="C867" s="35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</row>
    <row r="868">
      <c r="A868" s="35"/>
      <c r="B868" s="35"/>
      <c r="C868" s="35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</row>
    <row r="869">
      <c r="A869" s="35"/>
      <c r="B869" s="35"/>
      <c r="C869" s="35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</row>
    <row r="870">
      <c r="A870" s="35"/>
      <c r="B870" s="35"/>
      <c r="C870" s="35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</row>
    <row r="871">
      <c r="A871" s="35"/>
      <c r="B871" s="35"/>
      <c r="C871" s="35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</row>
    <row r="872">
      <c r="A872" s="35"/>
      <c r="B872" s="35"/>
      <c r="C872" s="35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</row>
    <row r="873">
      <c r="A873" s="35"/>
      <c r="B873" s="35"/>
      <c r="C873" s="35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</row>
    <row r="874">
      <c r="A874" s="35"/>
      <c r="B874" s="35"/>
      <c r="C874" s="35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</row>
    <row r="875">
      <c r="A875" s="35"/>
      <c r="B875" s="35"/>
      <c r="C875" s="35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</row>
    <row r="876">
      <c r="A876" s="35"/>
      <c r="B876" s="35"/>
      <c r="C876" s="35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</row>
    <row r="877">
      <c r="A877" s="35"/>
      <c r="B877" s="35"/>
      <c r="C877" s="35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</row>
    <row r="878">
      <c r="A878" s="35"/>
      <c r="B878" s="35"/>
      <c r="C878" s="35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</row>
    <row r="879">
      <c r="A879" s="35"/>
      <c r="B879" s="35"/>
      <c r="C879" s="35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</row>
    <row r="880">
      <c r="A880" s="35"/>
      <c r="B880" s="35"/>
      <c r="C880" s="35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</row>
    <row r="881">
      <c r="A881" s="35"/>
      <c r="B881" s="35"/>
      <c r="C881" s="35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</row>
    <row r="882">
      <c r="A882" s="35"/>
      <c r="B882" s="35"/>
      <c r="C882" s="35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</row>
    <row r="883">
      <c r="A883" s="35"/>
      <c r="B883" s="35"/>
      <c r="C883" s="35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</row>
    <row r="884">
      <c r="A884" s="35"/>
      <c r="B884" s="35"/>
      <c r="C884" s="35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</row>
    <row r="885">
      <c r="A885" s="35"/>
      <c r="B885" s="35"/>
      <c r="C885" s="35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</row>
    <row r="886">
      <c r="A886" s="35"/>
      <c r="B886" s="35"/>
      <c r="C886" s="35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</row>
    <row r="887">
      <c r="A887" s="35"/>
      <c r="B887" s="35"/>
      <c r="C887" s="35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</row>
    <row r="888">
      <c r="A888" s="35"/>
      <c r="B888" s="35"/>
      <c r="C888" s="35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</row>
    <row r="889">
      <c r="A889" s="35"/>
      <c r="B889" s="35"/>
      <c r="C889" s="35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</row>
    <row r="890">
      <c r="A890" s="35"/>
      <c r="B890" s="35"/>
      <c r="C890" s="35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</row>
    <row r="891">
      <c r="A891" s="35"/>
      <c r="B891" s="35"/>
      <c r="C891" s="35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</row>
    <row r="892">
      <c r="A892" s="35"/>
      <c r="B892" s="35"/>
      <c r="C892" s="35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</row>
    <row r="893">
      <c r="A893" s="35"/>
      <c r="B893" s="35"/>
      <c r="C893" s="35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</row>
    <row r="894">
      <c r="A894" s="35"/>
      <c r="B894" s="35"/>
      <c r="C894" s="35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</row>
    <row r="895">
      <c r="A895" s="35"/>
      <c r="B895" s="35"/>
      <c r="C895" s="35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</row>
    <row r="896">
      <c r="A896" s="35"/>
      <c r="B896" s="35"/>
      <c r="C896" s="35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</row>
    <row r="897">
      <c r="A897" s="35"/>
      <c r="B897" s="35"/>
      <c r="C897" s="35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</row>
    <row r="898">
      <c r="A898" s="35"/>
      <c r="B898" s="35"/>
      <c r="C898" s="35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</row>
    <row r="899">
      <c r="A899" s="35"/>
      <c r="B899" s="35"/>
      <c r="C899" s="35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</row>
    <row r="900">
      <c r="A900" s="35"/>
      <c r="B900" s="35"/>
      <c r="C900" s="35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</row>
    <row r="901">
      <c r="A901" s="35"/>
      <c r="B901" s="35"/>
      <c r="C901" s="35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</row>
    <row r="902">
      <c r="A902" s="35"/>
      <c r="B902" s="35"/>
      <c r="C902" s="35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</row>
    <row r="903">
      <c r="A903" s="35"/>
      <c r="B903" s="35"/>
      <c r="C903" s="35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</row>
    <row r="904">
      <c r="A904" s="35"/>
      <c r="B904" s="35"/>
      <c r="C904" s="35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</row>
    <row r="905">
      <c r="A905" s="35"/>
      <c r="B905" s="35"/>
      <c r="C905" s="35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</row>
    <row r="906">
      <c r="A906" s="35"/>
      <c r="B906" s="35"/>
      <c r="C906" s="35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</row>
    <row r="907">
      <c r="A907" s="35"/>
      <c r="B907" s="35"/>
      <c r="C907" s="35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</row>
    <row r="908">
      <c r="A908" s="35"/>
      <c r="B908" s="35"/>
      <c r="C908" s="35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</row>
    <row r="909">
      <c r="A909" s="35"/>
      <c r="B909" s="35"/>
      <c r="C909" s="35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</row>
    <row r="910">
      <c r="A910" s="35"/>
      <c r="B910" s="35"/>
      <c r="C910" s="35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</row>
    <row r="911">
      <c r="A911" s="35"/>
      <c r="B911" s="35"/>
      <c r="C911" s="35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</row>
    <row r="912">
      <c r="A912" s="35"/>
      <c r="B912" s="35"/>
      <c r="C912" s="35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</row>
    <row r="913">
      <c r="A913" s="35"/>
      <c r="B913" s="35"/>
      <c r="C913" s="35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</row>
    <row r="914">
      <c r="A914" s="35"/>
      <c r="B914" s="35"/>
      <c r="C914" s="35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</row>
    <row r="915">
      <c r="A915" s="35"/>
      <c r="B915" s="35"/>
      <c r="C915" s="35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</row>
    <row r="916">
      <c r="A916" s="35"/>
      <c r="B916" s="35"/>
      <c r="C916" s="35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</row>
    <row r="917">
      <c r="A917" s="35"/>
      <c r="B917" s="35"/>
      <c r="C917" s="35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</row>
    <row r="918">
      <c r="A918" s="35"/>
      <c r="B918" s="35"/>
      <c r="C918" s="35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</row>
    <row r="919">
      <c r="A919" s="35"/>
      <c r="B919" s="35"/>
      <c r="C919" s="35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</row>
    <row r="920">
      <c r="A920" s="35"/>
      <c r="B920" s="35"/>
      <c r="C920" s="35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</row>
    <row r="921">
      <c r="A921" s="35"/>
      <c r="B921" s="35"/>
      <c r="C921" s="35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</row>
    <row r="922">
      <c r="A922" s="35"/>
      <c r="B922" s="35"/>
      <c r="C922" s="35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</row>
    <row r="923">
      <c r="A923" s="35"/>
      <c r="B923" s="35"/>
      <c r="C923" s="35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</row>
    <row r="924">
      <c r="A924" s="35"/>
      <c r="B924" s="35"/>
      <c r="C924" s="35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</row>
    <row r="925">
      <c r="A925" s="35"/>
      <c r="B925" s="35"/>
      <c r="C925" s="35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</row>
    <row r="926">
      <c r="A926" s="35"/>
      <c r="B926" s="35"/>
      <c r="C926" s="35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</row>
    <row r="927">
      <c r="A927" s="35"/>
      <c r="B927" s="35"/>
      <c r="C927" s="35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</row>
    <row r="928">
      <c r="A928" s="35"/>
      <c r="B928" s="35"/>
      <c r="C928" s="35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</row>
    <row r="929">
      <c r="A929" s="35"/>
      <c r="B929" s="35"/>
      <c r="C929" s="35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</row>
    <row r="930">
      <c r="A930" s="35"/>
      <c r="B930" s="35"/>
      <c r="C930" s="35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</row>
    <row r="931">
      <c r="A931" s="35"/>
      <c r="B931" s="35"/>
      <c r="C931" s="35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</row>
    <row r="932">
      <c r="A932" s="35"/>
      <c r="B932" s="35"/>
      <c r="C932" s="35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</row>
    <row r="933">
      <c r="A933" s="35"/>
      <c r="B933" s="35"/>
      <c r="C933" s="35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</row>
    <row r="934">
      <c r="A934" s="35"/>
      <c r="B934" s="35"/>
      <c r="C934" s="35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</row>
    <row r="935">
      <c r="A935" s="35"/>
      <c r="B935" s="35"/>
      <c r="C935" s="35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</row>
    <row r="936">
      <c r="A936" s="35"/>
      <c r="B936" s="35"/>
      <c r="C936" s="35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</row>
    <row r="937">
      <c r="A937" s="35"/>
      <c r="B937" s="35"/>
      <c r="C937" s="35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</row>
    <row r="938">
      <c r="A938" s="35"/>
      <c r="B938" s="35"/>
      <c r="C938" s="35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</row>
    <row r="939">
      <c r="A939" s="35"/>
      <c r="B939" s="35"/>
      <c r="C939" s="35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</row>
    <row r="940">
      <c r="A940" s="35"/>
      <c r="B940" s="35"/>
      <c r="C940" s="35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</row>
    <row r="941">
      <c r="A941" s="35"/>
      <c r="B941" s="35"/>
      <c r="C941" s="35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</row>
    <row r="942">
      <c r="A942" s="35"/>
      <c r="B942" s="35"/>
      <c r="C942" s="35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</row>
    <row r="943">
      <c r="A943" s="35"/>
      <c r="B943" s="35"/>
      <c r="C943" s="35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</row>
    <row r="944">
      <c r="A944" s="35"/>
      <c r="B944" s="35"/>
      <c r="C944" s="35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</row>
    <row r="945">
      <c r="A945" s="35"/>
      <c r="B945" s="35"/>
      <c r="C945" s="35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</row>
    <row r="946">
      <c r="A946" s="35"/>
      <c r="B946" s="35"/>
      <c r="C946" s="35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</row>
    <row r="947">
      <c r="A947" s="35"/>
      <c r="B947" s="35"/>
      <c r="C947" s="35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</row>
    <row r="948">
      <c r="A948" s="35"/>
      <c r="B948" s="35"/>
      <c r="C948" s="35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</row>
    <row r="949">
      <c r="A949" s="35"/>
      <c r="B949" s="35"/>
      <c r="C949" s="35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</row>
    <row r="950">
      <c r="A950" s="35"/>
      <c r="B950" s="35"/>
      <c r="C950" s="35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</row>
    <row r="951">
      <c r="A951" s="35"/>
      <c r="B951" s="35"/>
      <c r="C951" s="35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</row>
    <row r="952">
      <c r="A952" s="35"/>
      <c r="B952" s="35"/>
      <c r="C952" s="35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</row>
    <row r="953">
      <c r="A953" s="35"/>
      <c r="B953" s="35"/>
      <c r="C953" s="35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</row>
    <row r="954">
      <c r="A954" s="35"/>
      <c r="B954" s="35"/>
      <c r="C954" s="35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</row>
    <row r="955">
      <c r="A955" s="35"/>
      <c r="B955" s="35"/>
      <c r="C955" s="35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</row>
    <row r="956">
      <c r="A956" s="35"/>
      <c r="B956" s="35"/>
      <c r="C956" s="35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</row>
    <row r="957">
      <c r="A957" s="35"/>
      <c r="B957" s="35"/>
      <c r="C957" s="35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</row>
    <row r="958">
      <c r="A958" s="35"/>
      <c r="B958" s="35"/>
      <c r="C958" s="35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</row>
    <row r="959">
      <c r="A959" s="35"/>
      <c r="B959" s="35"/>
      <c r="C959" s="35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</row>
    <row r="960">
      <c r="A960" s="35"/>
      <c r="B960" s="35"/>
      <c r="C960" s="35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</row>
    <row r="961">
      <c r="A961" s="35"/>
      <c r="B961" s="35"/>
      <c r="C961" s="35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</row>
    <row r="962">
      <c r="A962" s="35"/>
      <c r="B962" s="35"/>
      <c r="C962" s="35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</row>
    <row r="963">
      <c r="A963" s="35"/>
      <c r="B963" s="35"/>
      <c r="C963" s="35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</row>
    <row r="964">
      <c r="A964" s="35"/>
      <c r="B964" s="35"/>
      <c r="C964" s="35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</row>
    <row r="965">
      <c r="A965" s="35"/>
      <c r="B965" s="35"/>
      <c r="C965" s="35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</row>
    <row r="966">
      <c r="A966" s="35"/>
      <c r="B966" s="35"/>
      <c r="C966" s="35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</row>
    <row r="967">
      <c r="A967" s="35"/>
      <c r="B967" s="35"/>
      <c r="C967" s="35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</row>
    <row r="968">
      <c r="A968" s="35"/>
      <c r="B968" s="35"/>
      <c r="C968" s="35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</row>
    <row r="969">
      <c r="A969" s="35"/>
      <c r="B969" s="35"/>
      <c r="C969" s="35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</row>
    <row r="970">
      <c r="A970" s="35"/>
      <c r="B970" s="35"/>
      <c r="C970" s="35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</row>
    <row r="971">
      <c r="A971" s="35"/>
      <c r="B971" s="35"/>
      <c r="C971" s="35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</row>
  </sheetData>
  <mergeCells count="24">
    <mergeCell ref="K5:K6"/>
    <mergeCell ref="L5:L6"/>
    <mergeCell ref="M5:M6"/>
    <mergeCell ref="N5:N6"/>
    <mergeCell ref="B1:O4"/>
    <mergeCell ref="A5:A6"/>
    <mergeCell ref="B5:B6"/>
    <mergeCell ref="C5:C6"/>
    <mergeCell ref="D5:D6"/>
    <mergeCell ref="J5:J6"/>
    <mergeCell ref="O5:O6"/>
    <mergeCell ref="J30:J31"/>
    <mergeCell ref="K30:K31"/>
    <mergeCell ref="L30:L31"/>
    <mergeCell ref="M30:M31"/>
    <mergeCell ref="N30:N31"/>
    <mergeCell ref="O30:O31"/>
    <mergeCell ref="E5:I5"/>
    <mergeCell ref="B26:O29"/>
    <mergeCell ref="A30:A31"/>
    <mergeCell ref="B30:B31"/>
    <mergeCell ref="C30:C31"/>
    <mergeCell ref="D30:D31"/>
    <mergeCell ref="E30:I30"/>
  </mergeCells>
  <conditionalFormatting sqref="K7:K24 M7:M24 K32:K49 M32:M49">
    <cfRule type="cellIs" dxfId="0" priority="1" operator="between">
      <formula>"0%"</formula>
      <formula>"79.99%"</formula>
    </cfRule>
  </conditionalFormatting>
  <conditionalFormatting sqref="K7:K24 M7:M24 K32:K49 M32:M49">
    <cfRule type="cellIs" dxfId="1" priority="2" operator="between">
      <formula>"80%"</formula>
      <formula>"99.99%"</formula>
    </cfRule>
  </conditionalFormatting>
  <conditionalFormatting sqref="K7:K24 M7:M24 K32:K49 M32:M49">
    <cfRule type="cellIs" dxfId="2" priority="3" operator="between">
      <formula>"100%"</formula>
      <formula>"500%"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5.13"/>
    <col customWidth="1" min="3" max="3" width="22.88"/>
    <col customWidth="1" min="4" max="5" width="15.13"/>
    <col customWidth="1" min="10" max="10" width="14.38"/>
    <col customWidth="1" min="13" max="13" width="13.63"/>
    <col customWidth="1" min="16" max="16" width="24.0"/>
  </cols>
  <sheetData>
    <row r="1" ht="14.25" customHeight="1">
      <c r="A1" s="69" t="s">
        <v>0</v>
      </c>
      <c r="B1" s="42" t="s">
        <v>111</v>
      </c>
    </row>
    <row r="2" ht="11.25" customHeight="1">
      <c r="A2" s="3"/>
    </row>
    <row r="3">
      <c r="A3" s="3"/>
    </row>
    <row r="4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>
      <c r="A5" s="5" t="s">
        <v>2</v>
      </c>
      <c r="B5" s="5" t="s">
        <v>3</v>
      </c>
      <c r="C5" s="5" t="s">
        <v>4</v>
      </c>
      <c r="D5" s="6" t="s">
        <v>5</v>
      </c>
      <c r="E5" s="7" t="s">
        <v>6</v>
      </c>
      <c r="F5" s="4"/>
      <c r="G5" s="4"/>
      <c r="H5" s="4"/>
      <c r="I5" s="8"/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12</v>
      </c>
    </row>
    <row r="6">
      <c r="A6" s="8"/>
      <c r="B6" s="8"/>
      <c r="C6" s="8"/>
      <c r="D6" s="8"/>
      <c r="E6" s="9" t="s">
        <v>13</v>
      </c>
      <c r="F6" s="9" t="s">
        <v>14</v>
      </c>
      <c r="G6" s="9" t="s">
        <v>15</v>
      </c>
      <c r="H6" s="9" t="s">
        <v>16</v>
      </c>
      <c r="I6" s="9" t="s">
        <v>17</v>
      </c>
      <c r="J6" s="8"/>
      <c r="K6" s="8"/>
      <c r="L6" s="8"/>
      <c r="M6" s="8"/>
      <c r="N6" s="8"/>
      <c r="O6" s="8"/>
    </row>
    <row r="7">
      <c r="A7" s="10">
        <v>100.0</v>
      </c>
      <c r="B7" s="11" t="s">
        <v>18</v>
      </c>
      <c r="C7" s="11" t="s">
        <v>19</v>
      </c>
      <c r="D7" s="12">
        <f>902500000/90%</f>
        <v>1002777778</v>
      </c>
      <c r="E7" s="12">
        <v>2.0405010597E8</v>
      </c>
      <c r="F7" s="12">
        <v>2.1565064968E8</v>
      </c>
      <c r="G7" s="12">
        <v>2.1257547797E8</v>
      </c>
      <c r="H7" s="13">
        <v>1.9678916722E8</v>
      </c>
      <c r="I7" s="13">
        <v>1.755225912E8</v>
      </c>
      <c r="J7" s="14">
        <f t="shared" ref="J7:J9" si="1">SUM(E7:I7)</f>
        <v>1004587992</v>
      </c>
      <c r="K7" s="15">
        <f t="shared" ref="K7:K25" si="2">J7/D7</f>
        <v>1.0018052</v>
      </c>
      <c r="L7" s="16">
        <f t="shared" ref="L7:L9" si="3">J7/O7*N7</f>
        <v>1004587992</v>
      </c>
      <c r="M7" s="59">
        <f t="shared" ref="M7:M9" si="4">L7/D7</f>
        <v>1.0018052</v>
      </c>
      <c r="N7" s="18">
        <v>26.0</v>
      </c>
      <c r="O7" s="19">
        <v>26.0</v>
      </c>
      <c r="P7" s="20" t="s">
        <v>112</v>
      </c>
    </row>
    <row r="8">
      <c r="A8" s="10">
        <v>6.0</v>
      </c>
      <c r="B8" s="11" t="s">
        <v>21</v>
      </c>
      <c r="C8" s="11" t="s">
        <v>19</v>
      </c>
      <c r="D8" s="12">
        <f>72000000/90%</f>
        <v>80000000</v>
      </c>
      <c r="E8" s="12">
        <v>1.850356964E7</v>
      </c>
      <c r="F8" s="12">
        <v>1.3657228E7</v>
      </c>
      <c r="G8" s="12">
        <v>2.917848097E7</v>
      </c>
      <c r="H8" s="13">
        <v>3.948006094E7</v>
      </c>
      <c r="I8" s="12">
        <v>1.040139158E7</v>
      </c>
      <c r="J8" s="14">
        <f t="shared" si="1"/>
        <v>111220731.1</v>
      </c>
      <c r="K8" s="15">
        <f t="shared" si="2"/>
        <v>1.390259139</v>
      </c>
      <c r="L8" s="16">
        <f t="shared" si="3"/>
        <v>111220731.1</v>
      </c>
      <c r="M8" s="59">
        <f t="shared" si="4"/>
        <v>1.390259139</v>
      </c>
      <c r="N8" s="18">
        <v>26.0</v>
      </c>
      <c r="O8" s="19">
        <v>26.0</v>
      </c>
      <c r="P8" s="20" t="s">
        <v>112</v>
      </c>
    </row>
    <row r="9">
      <c r="A9" s="10">
        <v>64.0</v>
      </c>
      <c r="B9" s="10" t="s">
        <v>22</v>
      </c>
      <c r="C9" s="11" t="s">
        <v>19</v>
      </c>
      <c r="D9" s="12">
        <v>4.0E8</v>
      </c>
      <c r="E9" s="12">
        <v>4.43525E7</v>
      </c>
      <c r="F9" s="12">
        <v>6.5044E7</v>
      </c>
      <c r="G9" s="12">
        <v>1.00692999E8</v>
      </c>
      <c r="H9" s="12">
        <v>7.2322999E7</v>
      </c>
      <c r="I9" s="12">
        <v>4.9898499E7</v>
      </c>
      <c r="J9" s="14">
        <f t="shared" si="1"/>
        <v>332310997</v>
      </c>
      <c r="K9" s="15">
        <f t="shared" si="2"/>
        <v>0.8307774925</v>
      </c>
      <c r="L9" s="16">
        <f t="shared" si="3"/>
        <v>332310997</v>
      </c>
      <c r="M9" s="59">
        <f t="shared" si="4"/>
        <v>0.8307774925</v>
      </c>
      <c r="N9" s="18">
        <v>25.0</v>
      </c>
      <c r="O9" s="19">
        <v>25.0</v>
      </c>
      <c r="P9" s="20" t="s">
        <v>113</v>
      </c>
    </row>
    <row r="10">
      <c r="A10" s="10">
        <v>2.0</v>
      </c>
      <c r="B10" s="10" t="s">
        <v>24</v>
      </c>
      <c r="C10" s="10" t="s">
        <v>68</v>
      </c>
      <c r="D10" s="21">
        <v>1.0</v>
      </c>
      <c r="E10" s="21">
        <v>1.28</v>
      </c>
      <c r="F10" s="21">
        <v>1.2721</v>
      </c>
      <c r="G10" s="21">
        <v>1.2721</v>
      </c>
      <c r="H10" s="21">
        <v>1.27</v>
      </c>
      <c r="I10" s="21">
        <v>1.32</v>
      </c>
      <c r="J10" s="57">
        <f t="shared" ref="J10:J11" si="5">I10</f>
        <v>1.32</v>
      </c>
      <c r="K10" s="15">
        <f t="shared" si="2"/>
        <v>1.32</v>
      </c>
      <c r="L10" s="58">
        <f t="shared" ref="L10:L11" si="6">K10</f>
        <v>1.32</v>
      </c>
      <c r="M10" s="59">
        <f t="shared" ref="M10:M11" si="7">K10</f>
        <v>1.32</v>
      </c>
      <c r="N10" s="18">
        <v>23.0</v>
      </c>
      <c r="O10" s="19">
        <v>23.0</v>
      </c>
      <c r="P10" s="20" t="s">
        <v>113</v>
      </c>
    </row>
    <row r="11">
      <c r="A11" s="10">
        <v>10.0</v>
      </c>
      <c r="B11" s="10" t="s">
        <v>25</v>
      </c>
      <c r="C11" s="11" t="s">
        <v>26</v>
      </c>
      <c r="D11" s="21">
        <v>0.8</v>
      </c>
      <c r="E11" s="21">
        <v>0.4482</v>
      </c>
      <c r="F11" s="21">
        <v>0.678</v>
      </c>
      <c r="G11" s="21">
        <v>0.7909</v>
      </c>
      <c r="H11" s="24">
        <v>1.1291</v>
      </c>
      <c r="I11" s="24">
        <v>1.2754</v>
      </c>
      <c r="J11" s="57">
        <f t="shared" si="5"/>
        <v>1.2754</v>
      </c>
      <c r="K11" s="15">
        <f t="shared" si="2"/>
        <v>1.59425</v>
      </c>
      <c r="L11" s="58">
        <f t="shared" si="6"/>
        <v>1.59425</v>
      </c>
      <c r="M11" s="78">
        <f t="shared" si="7"/>
        <v>1.59425</v>
      </c>
      <c r="N11" s="18">
        <v>23.0</v>
      </c>
      <c r="O11" s="19">
        <v>23.0</v>
      </c>
      <c r="P11" s="20" t="s">
        <v>113</v>
      </c>
    </row>
    <row r="12">
      <c r="A12" s="10">
        <v>21.0</v>
      </c>
      <c r="B12" s="10" t="s">
        <v>27</v>
      </c>
      <c r="C12" s="11" t="s">
        <v>19</v>
      </c>
      <c r="D12" s="19">
        <v>1687.0</v>
      </c>
      <c r="E12" s="18">
        <v>225.0</v>
      </c>
      <c r="F12" s="18">
        <v>322.0</v>
      </c>
      <c r="G12" s="18">
        <v>262.0</v>
      </c>
      <c r="H12" s="18">
        <v>277.0</v>
      </c>
      <c r="I12" s="29">
        <v>222.0</v>
      </c>
      <c r="J12" s="30">
        <f t="shared" ref="J12:J24" si="8">SUM(E12:I12)</f>
        <v>1308</v>
      </c>
      <c r="K12" s="15">
        <f t="shared" si="2"/>
        <v>0.7753408417</v>
      </c>
      <c r="L12" s="16">
        <f t="shared" ref="L12:L24" si="9">J12/O12*N12</f>
        <v>1308</v>
      </c>
      <c r="M12" s="59">
        <f t="shared" ref="M12:M24" si="10">L12/D12</f>
        <v>0.7753408417</v>
      </c>
      <c r="N12" s="18">
        <v>23.0</v>
      </c>
      <c r="O12" s="18">
        <v>23.0</v>
      </c>
      <c r="P12" s="20" t="s">
        <v>114</v>
      </c>
    </row>
    <row r="13">
      <c r="A13" s="10">
        <v>15.0</v>
      </c>
      <c r="B13" s="10" t="s">
        <v>29</v>
      </c>
      <c r="C13" s="11" t="s">
        <v>19</v>
      </c>
      <c r="D13" s="19">
        <v>5.6677E7</v>
      </c>
      <c r="E13" s="19">
        <v>2895000.0</v>
      </c>
      <c r="F13" s="12">
        <v>1.0804E7</v>
      </c>
      <c r="G13" s="12">
        <v>7690000.0</v>
      </c>
      <c r="H13" s="12">
        <v>1.0465E7</v>
      </c>
      <c r="I13" s="19">
        <v>1.1024E7</v>
      </c>
      <c r="J13" s="30">
        <f t="shared" si="8"/>
        <v>42878000</v>
      </c>
      <c r="K13" s="15">
        <f t="shared" si="2"/>
        <v>0.7565326323</v>
      </c>
      <c r="L13" s="16">
        <f t="shared" si="9"/>
        <v>42878000</v>
      </c>
      <c r="M13" s="59">
        <f t="shared" si="10"/>
        <v>0.7565326323</v>
      </c>
      <c r="N13" s="18">
        <v>23.0</v>
      </c>
      <c r="O13" s="18">
        <v>23.0</v>
      </c>
      <c r="P13" s="20" t="s">
        <v>114</v>
      </c>
    </row>
    <row r="14">
      <c r="A14" s="10">
        <v>35.0</v>
      </c>
      <c r="B14" s="10" t="s">
        <v>31</v>
      </c>
      <c r="C14" s="11" t="s">
        <v>19</v>
      </c>
      <c r="D14" s="12">
        <v>2.4892455912E8</v>
      </c>
      <c r="E14" s="19">
        <v>4.5017479E7</v>
      </c>
      <c r="F14" s="19">
        <v>7.537182E7</v>
      </c>
      <c r="G14" s="19">
        <v>5.9937973E7</v>
      </c>
      <c r="H14" s="19">
        <v>3.7625671E7</v>
      </c>
      <c r="I14" s="19">
        <v>2.8048143E7</v>
      </c>
      <c r="J14" s="30">
        <f t="shared" si="8"/>
        <v>246001086</v>
      </c>
      <c r="K14" s="15">
        <f t="shared" si="2"/>
        <v>0.9882555858</v>
      </c>
      <c r="L14" s="16">
        <f t="shared" si="9"/>
        <v>269429760.9</v>
      </c>
      <c r="M14" s="59">
        <f t="shared" si="10"/>
        <v>1.082375165</v>
      </c>
      <c r="N14" s="18">
        <v>23.0</v>
      </c>
      <c r="O14" s="18">
        <v>21.0</v>
      </c>
      <c r="P14" s="20" t="s">
        <v>115</v>
      </c>
    </row>
    <row r="15" ht="17.25" customHeight="1">
      <c r="A15" s="10">
        <v>102.0</v>
      </c>
      <c r="B15" s="11" t="s">
        <v>32</v>
      </c>
      <c r="C15" s="11" t="s">
        <v>19</v>
      </c>
      <c r="D15" s="19">
        <v>18885.0</v>
      </c>
      <c r="E15" s="18">
        <v>2728.0</v>
      </c>
      <c r="F15" s="60">
        <f>1664+1919</f>
        <v>3583</v>
      </c>
      <c r="G15" s="60">
        <v>3693.0</v>
      </c>
      <c r="H15" s="18">
        <f>932+2031+458</f>
        <v>3421</v>
      </c>
      <c r="I15" s="18">
        <f>2233+446</f>
        <v>2679</v>
      </c>
      <c r="J15" s="30">
        <f t="shared" si="8"/>
        <v>16104</v>
      </c>
      <c r="K15" s="15">
        <f t="shared" si="2"/>
        <v>0.8527402701</v>
      </c>
      <c r="L15" s="16">
        <f t="shared" si="9"/>
        <v>16104</v>
      </c>
      <c r="M15" s="59">
        <f t="shared" si="10"/>
        <v>0.8527402701</v>
      </c>
      <c r="N15" s="18">
        <v>23.0</v>
      </c>
      <c r="O15" s="18">
        <v>23.0</v>
      </c>
      <c r="P15" s="20" t="s">
        <v>116</v>
      </c>
    </row>
    <row r="16">
      <c r="A16" s="10">
        <v>5.0</v>
      </c>
      <c r="B16" s="10" t="s">
        <v>117</v>
      </c>
      <c r="C16" s="11" t="s">
        <v>19</v>
      </c>
      <c r="D16" s="19">
        <f>12*23*5</f>
        <v>1380</v>
      </c>
      <c r="E16" s="62">
        <v>120.0</v>
      </c>
      <c r="F16" s="63">
        <v>272.0</v>
      </c>
      <c r="G16" s="63">
        <v>249.0</v>
      </c>
      <c r="H16" s="18">
        <v>221.0</v>
      </c>
      <c r="I16" s="18">
        <v>201.0</v>
      </c>
      <c r="J16" s="45">
        <f t="shared" si="8"/>
        <v>1063</v>
      </c>
      <c r="K16" s="15">
        <f t="shared" si="2"/>
        <v>0.7702898551</v>
      </c>
      <c r="L16" s="16">
        <f t="shared" si="9"/>
        <v>1063</v>
      </c>
      <c r="M16" s="59">
        <f t="shared" si="10"/>
        <v>0.7702898551</v>
      </c>
      <c r="N16" s="18">
        <v>23.0</v>
      </c>
      <c r="O16" s="18">
        <f t="shared" ref="O16:P16" si="11">O15</f>
        <v>23</v>
      </c>
      <c r="P16" s="20" t="str">
        <f t="shared" si="11"/>
        <v>as of July 31, 2025</v>
      </c>
    </row>
    <row r="17">
      <c r="A17" s="10">
        <v>8.0</v>
      </c>
      <c r="B17" s="10" t="s">
        <v>118</v>
      </c>
      <c r="C17" s="10" t="s">
        <v>19</v>
      </c>
      <c r="D17" s="19">
        <v>1359.0</v>
      </c>
      <c r="E17" s="62">
        <v>100.0</v>
      </c>
      <c r="F17" s="63">
        <f>106+134</f>
        <v>240</v>
      </c>
      <c r="G17" s="63">
        <v>276.0</v>
      </c>
      <c r="H17" s="18">
        <v>208.0</v>
      </c>
      <c r="I17" s="18">
        <f>137+16</f>
        <v>153</v>
      </c>
      <c r="J17" s="45">
        <f t="shared" si="8"/>
        <v>977</v>
      </c>
      <c r="K17" s="15">
        <f t="shared" si="2"/>
        <v>0.7189109639</v>
      </c>
      <c r="L17" s="16">
        <f t="shared" si="9"/>
        <v>977</v>
      </c>
      <c r="M17" s="59">
        <f t="shared" si="10"/>
        <v>0.7189109639</v>
      </c>
      <c r="N17" s="18">
        <v>23.0</v>
      </c>
      <c r="O17" s="18">
        <f t="shared" ref="O17:P17" si="12">O16</f>
        <v>23</v>
      </c>
      <c r="P17" s="20" t="str">
        <f t="shared" si="12"/>
        <v>as of July 31, 2025</v>
      </c>
    </row>
    <row r="18">
      <c r="A18" s="10">
        <v>39.0</v>
      </c>
      <c r="B18" s="11" t="s">
        <v>35</v>
      </c>
      <c r="C18" s="11" t="s">
        <v>19</v>
      </c>
      <c r="D18" s="19">
        <v>5.3508E8</v>
      </c>
      <c r="E18" s="80">
        <f>43494000+29256000+32808000+48208000</f>
        <v>153766000</v>
      </c>
      <c r="F18" s="82">
        <f>42629847+32536500+36163000+29106850+31334000</f>
        <v>171770197</v>
      </c>
      <c r="G18" s="82">
        <f>31890000+44074000+46403000+40943000+51402700</f>
        <v>214712700</v>
      </c>
      <c r="H18" s="19">
        <f>43536900+9147000+28224000+41837000+44448000</f>
        <v>167192900</v>
      </c>
      <c r="I18" s="19">
        <f>56644224+40470000+57754500+54361000</f>
        <v>209229724</v>
      </c>
      <c r="J18" s="30">
        <f t="shared" si="8"/>
        <v>916671521</v>
      </c>
      <c r="K18" s="15">
        <f t="shared" si="2"/>
        <v>1.71314854</v>
      </c>
      <c r="L18" s="16">
        <f t="shared" si="9"/>
        <v>916671521</v>
      </c>
      <c r="M18" s="59">
        <f t="shared" si="10"/>
        <v>1.71314854</v>
      </c>
      <c r="N18" s="18">
        <v>23.0</v>
      </c>
      <c r="O18" s="18">
        <v>23.0</v>
      </c>
      <c r="P18" s="61" t="s">
        <v>113</v>
      </c>
    </row>
    <row r="19">
      <c r="A19" s="10">
        <v>11.0</v>
      </c>
      <c r="B19" s="11" t="s">
        <v>37</v>
      </c>
      <c r="C19" s="11" t="s">
        <v>19</v>
      </c>
      <c r="D19" s="12">
        <v>1800.0</v>
      </c>
      <c r="E19" s="80">
        <f>41+51+39+49</f>
        <v>180</v>
      </c>
      <c r="F19" s="81">
        <f>62+53+64+54+45</f>
        <v>278</v>
      </c>
      <c r="G19" s="82">
        <f>46+42+68+70+88</f>
        <v>314</v>
      </c>
      <c r="H19" s="34">
        <f>42+11+61+53+73</f>
        <v>240</v>
      </c>
      <c r="I19" s="34">
        <f>40+42+57+51</f>
        <v>190</v>
      </c>
      <c r="J19" s="30">
        <f t="shared" si="8"/>
        <v>1202</v>
      </c>
      <c r="K19" s="15">
        <f t="shared" si="2"/>
        <v>0.6677777778</v>
      </c>
      <c r="L19" s="16">
        <f t="shared" si="9"/>
        <v>1202</v>
      </c>
      <c r="M19" s="59">
        <f t="shared" si="10"/>
        <v>0.6677777778</v>
      </c>
      <c r="N19" s="18">
        <f t="shared" ref="N19:N21" si="13">N18</f>
        <v>23</v>
      </c>
      <c r="O19" s="18">
        <v>23.0</v>
      </c>
      <c r="P19" s="61" t="s">
        <v>113</v>
      </c>
    </row>
    <row r="20">
      <c r="A20" s="10">
        <v>5.0</v>
      </c>
      <c r="B20" s="11" t="s">
        <v>38</v>
      </c>
      <c r="C20" s="11" t="s">
        <v>19</v>
      </c>
      <c r="D20" s="12">
        <v>2200.0</v>
      </c>
      <c r="E20" s="80">
        <f>71+80+123+68</f>
        <v>342</v>
      </c>
      <c r="F20" s="89">
        <f>91+92+98+118+128</f>
        <v>527</v>
      </c>
      <c r="G20" s="90">
        <f>159+132+143+104+131</f>
        <v>669</v>
      </c>
      <c r="H20" s="29">
        <f>49+68+121+153+155</f>
        <v>546</v>
      </c>
      <c r="I20" s="29">
        <f>130+126+138+115</f>
        <v>509</v>
      </c>
      <c r="J20" s="30">
        <f t="shared" si="8"/>
        <v>2593</v>
      </c>
      <c r="K20" s="15">
        <f t="shared" si="2"/>
        <v>1.178636364</v>
      </c>
      <c r="L20" s="16">
        <f t="shared" si="9"/>
        <v>2593</v>
      </c>
      <c r="M20" s="59">
        <f t="shared" si="10"/>
        <v>1.178636364</v>
      </c>
      <c r="N20" s="18">
        <f t="shared" si="13"/>
        <v>23</v>
      </c>
      <c r="O20" s="18">
        <f t="shared" ref="O20:O21" si="14">O19</f>
        <v>23</v>
      </c>
      <c r="P20" s="61" t="s">
        <v>113</v>
      </c>
    </row>
    <row r="21">
      <c r="A21" s="10">
        <v>25.0</v>
      </c>
      <c r="B21" s="10" t="s">
        <v>39</v>
      </c>
      <c r="C21" s="11" t="s">
        <v>19</v>
      </c>
      <c r="D21" s="12">
        <v>3400.0</v>
      </c>
      <c r="E21" s="19">
        <f>188+174+246+234</f>
        <v>842</v>
      </c>
      <c r="F21" s="29">
        <f>276+302+303+245+215</f>
        <v>1341</v>
      </c>
      <c r="G21" s="19">
        <f>208+216+208+174+207</f>
        <v>1013</v>
      </c>
      <c r="H21" s="29">
        <f>184+84+224+207+202</f>
        <v>901</v>
      </c>
      <c r="I21" s="29">
        <f>201+189+157+176</f>
        <v>723</v>
      </c>
      <c r="J21" s="30">
        <f t="shared" si="8"/>
        <v>4820</v>
      </c>
      <c r="K21" s="15">
        <f t="shared" si="2"/>
        <v>1.417647059</v>
      </c>
      <c r="L21" s="16">
        <f t="shared" si="9"/>
        <v>4820</v>
      </c>
      <c r="M21" s="59">
        <f t="shared" si="10"/>
        <v>1.417647059</v>
      </c>
      <c r="N21" s="18">
        <f t="shared" si="13"/>
        <v>23</v>
      </c>
      <c r="O21" s="18">
        <f t="shared" si="14"/>
        <v>23</v>
      </c>
      <c r="P21" s="61" t="s">
        <v>113</v>
      </c>
    </row>
    <row r="22">
      <c r="A22" s="10">
        <v>20.0</v>
      </c>
      <c r="B22" s="10" t="s">
        <v>40</v>
      </c>
      <c r="C22" s="11" t="s">
        <v>19</v>
      </c>
      <c r="D22" s="12">
        <v>260.0</v>
      </c>
      <c r="E22" s="19">
        <v>34.0</v>
      </c>
      <c r="F22" s="29">
        <v>71.0</v>
      </c>
      <c r="G22" s="29">
        <v>44.0</v>
      </c>
      <c r="H22" s="29">
        <v>42.0</v>
      </c>
      <c r="I22" s="29">
        <v>36.0</v>
      </c>
      <c r="J22" s="30">
        <f t="shared" si="8"/>
        <v>227</v>
      </c>
      <c r="K22" s="15">
        <f t="shared" si="2"/>
        <v>0.8730769231</v>
      </c>
      <c r="L22" s="16">
        <f t="shared" si="9"/>
        <v>227</v>
      </c>
      <c r="M22" s="59">
        <f t="shared" si="10"/>
        <v>0.8730769231</v>
      </c>
      <c r="N22" s="18">
        <v>23.0</v>
      </c>
      <c r="O22" s="18">
        <v>23.0</v>
      </c>
      <c r="P22" s="61" t="s">
        <v>113</v>
      </c>
    </row>
    <row r="23">
      <c r="A23" s="10">
        <v>21.0</v>
      </c>
      <c r="B23" s="10" t="s">
        <v>73</v>
      </c>
      <c r="C23" s="11" t="s">
        <v>19</v>
      </c>
      <c r="D23" s="12">
        <v>2898.0</v>
      </c>
      <c r="E23" s="19">
        <v>379.0</v>
      </c>
      <c r="F23" s="29">
        <v>513.0</v>
      </c>
      <c r="G23" s="29">
        <v>505.0</v>
      </c>
      <c r="H23" s="32">
        <v>474.0</v>
      </c>
      <c r="I23" s="29">
        <v>330.0</v>
      </c>
      <c r="J23" s="30">
        <f t="shared" si="8"/>
        <v>2201</v>
      </c>
      <c r="K23" s="15">
        <f t="shared" si="2"/>
        <v>0.759489303</v>
      </c>
      <c r="L23" s="16">
        <f t="shared" si="9"/>
        <v>2201</v>
      </c>
      <c r="M23" s="59">
        <f t="shared" si="10"/>
        <v>0.759489303</v>
      </c>
      <c r="N23" s="18">
        <v>22.0</v>
      </c>
      <c r="O23" s="18">
        <v>22.0</v>
      </c>
      <c r="P23" s="20" t="s">
        <v>119</v>
      </c>
    </row>
    <row r="24">
      <c r="A24" s="10">
        <v>1.0</v>
      </c>
      <c r="B24" s="10" t="s">
        <v>43</v>
      </c>
      <c r="C24" s="11" t="s">
        <v>19</v>
      </c>
      <c r="D24" s="12">
        <v>30.0</v>
      </c>
      <c r="E24" s="12">
        <v>9.0</v>
      </c>
      <c r="F24" s="12">
        <v>10.0</v>
      </c>
      <c r="G24" s="12">
        <v>9.0</v>
      </c>
      <c r="H24" s="12">
        <v>9.0</v>
      </c>
      <c r="I24" s="12">
        <v>6.0</v>
      </c>
      <c r="J24" s="14">
        <f t="shared" si="8"/>
        <v>43</v>
      </c>
      <c r="K24" s="15">
        <f t="shared" si="2"/>
        <v>1.433333333</v>
      </c>
      <c r="L24" s="16">
        <f t="shared" si="9"/>
        <v>43</v>
      </c>
      <c r="M24" s="59">
        <f t="shared" si="10"/>
        <v>1.433333333</v>
      </c>
      <c r="N24" s="18">
        <v>23.0</v>
      </c>
      <c r="O24" s="18">
        <v>23.0</v>
      </c>
      <c r="P24" s="20" t="s">
        <v>116</v>
      </c>
    </row>
    <row r="25">
      <c r="A25" s="10">
        <v>45.0</v>
      </c>
      <c r="B25" s="10" t="s">
        <v>44</v>
      </c>
      <c r="C25" s="11" t="s">
        <v>19</v>
      </c>
      <c r="D25" s="21">
        <v>0.85</v>
      </c>
      <c r="E25" s="21">
        <v>0.84</v>
      </c>
      <c r="F25" s="24">
        <v>0.82</v>
      </c>
      <c r="G25" s="24">
        <v>0.75</v>
      </c>
      <c r="H25" s="24">
        <v>0.81</v>
      </c>
      <c r="I25" s="24">
        <v>0.88</v>
      </c>
      <c r="J25" s="57">
        <f>AVERAGE(E25:I25)</f>
        <v>0.82</v>
      </c>
      <c r="K25" s="15">
        <f t="shared" si="2"/>
        <v>0.9647058824</v>
      </c>
      <c r="L25" s="15">
        <f t="shared" ref="L25:M25" si="15">J25</f>
        <v>0.82</v>
      </c>
      <c r="M25" s="59">
        <f t="shared" si="15"/>
        <v>0.9647058824</v>
      </c>
      <c r="N25" s="18">
        <v>31.0</v>
      </c>
      <c r="O25" s="60">
        <v>31.0</v>
      </c>
      <c r="P25" s="20" t="s">
        <v>116</v>
      </c>
    </row>
    <row r="26">
      <c r="A26" s="10">
        <v>55.0</v>
      </c>
      <c r="B26" s="10" t="s">
        <v>120</v>
      </c>
      <c r="C26" s="10" t="s">
        <v>121</v>
      </c>
      <c r="D26" s="21">
        <v>0.85</v>
      </c>
      <c r="E26" s="21">
        <v>0.81</v>
      </c>
      <c r="F26" s="24">
        <v>0.81</v>
      </c>
      <c r="G26" s="24">
        <v>0.7694</v>
      </c>
      <c r="H26" s="24">
        <v>0.75</v>
      </c>
      <c r="I26" s="24"/>
      <c r="J26" s="21">
        <v>0.74</v>
      </c>
      <c r="K26" s="26">
        <v>0.87</v>
      </c>
      <c r="L26" s="22">
        <f>K26</f>
        <v>0.87</v>
      </c>
      <c r="M26" s="78">
        <v>0.87</v>
      </c>
      <c r="N26" s="62">
        <v>23.0</v>
      </c>
      <c r="O26" s="83">
        <v>23.0</v>
      </c>
      <c r="P26" s="20" t="s">
        <v>116</v>
      </c>
    </row>
    <row r="27">
      <c r="A27" s="35"/>
      <c r="B27" s="35"/>
      <c r="C27" s="35"/>
      <c r="D27" s="36"/>
      <c r="E27" s="37"/>
      <c r="F27" s="38"/>
      <c r="G27" s="38"/>
      <c r="H27" s="36"/>
      <c r="I27" s="38"/>
      <c r="J27" s="37"/>
      <c r="K27" s="39"/>
      <c r="L27" s="40"/>
      <c r="M27" s="41"/>
      <c r="N27" s="38"/>
      <c r="O27" s="38"/>
    </row>
    <row r="28" ht="15.0" customHeight="1">
      <c r="A28" s="1" t="s">
        <v>0</v>
      </c>
      <c r="B28" s="42" t="s">
        <v>122</v>
      </c>
    </row>
    <row r="29" ht="10.5" customHeight="1">
      <c r="A29" s="3"/>
    </row>
    <row r="30">
      <c r="A30" s="3"/>
    </row>
    <row r="3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>
      <c r="A32" s="5" t="s">
        <v>2</v>
      </c>
      <c r="B32" s="5" t="s">
        <v>3</v>
      </c>
      <c r="C32" s="5" t="s">
        <v>4</v>
      </c>
      <c r="D32" s="6" t="s">
        <v>5</v>
      </c>
      <c r="E32" s="7" t="s">
        <v>6</v>
      </c>
      <c r="F32" s="4"/>
      <c r="G32" s="4"/>
      <c r="H32" s="4"/>
      <c r="I32" s="8"/>
      <c r="J32" s="6" t="s">
        <v>7</v>
      </c>
      <c r="K32" s="6" t="s">
        <v>8</v>
      </c>
      <c r="L32" s="6" t="s">
        <v>9</v>
      </c>
      <c r="M32" s="6" t="s">
        <v>10</v>
      </c>
      <c r="N32" s="6" t="s">
        <v>11</v>
      </c>
      <c r="O32" s="6" t="s">
        <v>12</v>
      </c>
    </row>
    <row r="33">
      <c r="A33" s="8"/>
      <c r="B33" s="8"/>
      <c r="C33" s="8"/>
      <c r="D33" s="8"/>
      <c r="E33" s="9" t="s">
        <v>13</v>
      </c>
      <c r="F33" s="9" t="s">
        <v>14</v>
      </c>
      <c r="G33" s="9" t="s">
        <v>15</v>
      </c>
      <c r="H33" s="9" t="s">
        <v>16</v>
      </c>
      <c r="I33" s="9" t="s">
        <v>17</v>
      </c>
      <c r="J33" s="8"/>
      <c r="K33" s="8"/>
      <c r="L33" s="8"/>
      <c r="M33" s="8"/>
      <c r="N33" s="8"/>
      <c r="O33" s="8"/>
    </row>
    <row r="34">
      <c r="A34" s="10">
        <v>100.0</v>
      </c>
      <c r="B34" s="11" t="s">
        <v>18</v>
      </c>
      <c r="C34" s="11" t="s">
        <v>19</v>
      </c>
      <c r="D34" s="19">
        <v>9.025E8</v>
      </c>
      <c r="E34" s="12">
        <v>1.35767782E8</v>
      </c>
      <c r="F34" s="12">
        <f>59184177.49+79996556.51+37532508+41299162</f>
        <v>218012404</v>
      </c>
      <c r="G34" s="12">
        <v>2.1428683663E8</v>
      </c>
      <c r="H34" s="13">
        <v>1.5502897769E8</v>
      </c>
      <c r="I34" s="13">
        <f>125144575.06+113393699.62</f>
        <v>238538274.7</v>
      </c>
      <c r="J34" s="14">
        <f t="shared" ref="J34:J36" si="16">SUM(E34:I34)</f>
        <v>961634275</v>
      </c>
      <c r="K34" s="15">
        <f t="shared" ref="K34:K53" si="17">J34/D34</f>
        <v>1.065522742</v>
      </c>
      <c r="L34" s="16">
        <f t="shared" ref="L34:L36" si="18">J34/O34*N34</f>
        <v>961634275</v>
      </c>
      <c r="M34" s="59">
        <f t="shared" ref="M34:M36" si="19">L34/D34</f>
        <v>1.065522742</v>
      </c>
      <c r="N34" s="18">
        <v>23.0</v>
      </c>
      <c r="O34" s="19">
        <v>23.0</v>
      </c>
      <c r="P34" s="20" t="s">
        <v>113</v>
      </c>
    </row>
    <row r="35">
      <c r="A35" s="10">
        <v>6.0</v>
      </c>
      <c r="B35" s="11" t="s">
        <v>21</v>
      </c>
      <c r="C35" s="11" t="s">
        <v>19</v>
      </c>
      <c r="D35" s="19">
        <v>7.2E7</v>
      </c>
      <c r="E35" s="12">
        <v>1.39171713E7</v>
      </c>
      <c r="F35" s="12">
        <f>3792260.85+3285852.85+3017304+3256067</f>
        <v>13351484.7</v>
      </c>
      <c r="G35" s="12">
        <v>1.670277354E7</v>
      </c>
      <c r="H35" s="13">
        <v>2.443314328E7</v>
      </c>
      <c r="I35" s="12">
        <v>3.920540718E7</v>
      </c>
      <c r="J35" s="14">
        <f t="shared" si="16"/>
        <v>107609980</v>
      </c>
      <c r="K35" s="15">
        <f t="shared" si="17"/>
        <v>1.494583056</v>
      </c>
      <c r="L35" s="16">
        <f t="shared" si="18"/>
        <v>107609980</v>
      </c>
      <c r="M35" s="59">
        <f t="shared" si="19"/>
        <v>1.494583056</v>
      </c>
      <c r="N35" s="18">
        <v>23.0</v>
      </c>
      <c r="O35" s="19">
        <v>23.0</v>
      </c>
      <c r="P35" s="20" t="s">
        <v>113</v>
      </c>
    </row>
    <row r="36">
      <c r="A36" s="10">
        <v>64.0</v>
      </c>
      <c r="B36" s="10" t="s">
        <v>22</v>
      </c>
      <c r="C36" s="11" t="s">
        <v>19</v>
      </c>
      <c r="D36" s="19">
        <v>3.0E8</v>
      </c>
      <c r="E36" s="12">
        <v>3.3844E7</v>
      </c>
      <c r="F36" s="12">
        <v>3.9037499E7</v>
      </c>
      <c r="G36" s="12">
        <v>4.36825E7</v>
      </c>
      <c r="H36" s="12">
        <v>6.9284E7</v>
      </c>
      <c r="I36" s="12">
        <v>6.8338497E7</v>
      </c>
      <c r="J36" s="14">
        <f t="shared" si="16"/>
        <v>254186496</v>
      </c>
      <c r="K36" s="15">
        <f t="shared" si="17"/>
        <v>0.84728832</v>
      </c>
      <c r="L36" s="16">
        <f t="shared" si="18"/>
        <v>254186496</v>
      </c>
      <c r="M36" s="59">
        <f t="shared" si="19"/>
        <v>0.84728832</v>
      </c>
      <c r="N36" s="18">
        <v>23.0</v>
      </c>
      <c r="O36" s="19">
        <v>23.0</v>
      </c>
      <c r="P36" s="20" t="s">
        <v>113</v>
      </c>
    </row>
    <row r="37">
      <c r="A37" s="10">
        <v>2.0</v>
      </c>
      <c r="B37" s="10" t="s">
        <v>24</v>
      </c>
      <c r="C37" s="10" t="s">
        <v>68</v>
      </c>
      <c r="D37" s="21">
        <v>1.0</v>
      </c>
      <c r="E37" s="21">
        <v>1.28</v>
      </c>
      <c r="F37" s="21">
        <v>1.2721</v>
      </c>
      <c r="G37" s="21">
        <v>1.2721</v>
      </c>
      <c r="H37" s="21">
        <v>1.27</v>
      </c>
      <c r="I37" s="21">
        <v>1.32</v>
      </c>
      <c r="J37" s="57">
        <f t="shared" ref="J37:J38" si="20">I37</f>
        <v>1.32</v>
      </c>
      <c r="K37" s="15">
        <f t="shared" si="17"/>
        <v>1.32</v>
      </c>
      <c r="L37" s="58">
        <f t="shared" ref="L37:L38" si="21">K37</f>
        <v>1.32</v>
      </c>
      <c r="M37" s="59">
        <f t="shared" ref="M37:M38" si="22">K37</f>
        <v>1.32</v>
      </c>
      <c r="N37" s="18">
        <v>23.0</v>
      </c>
      <c r="O37" s="19">
        <v>23.0</v>
      </c>
      <c r="P37" s="20" t="s">
        <v>113</v>
      </c>
    </row>
    <row r="38">
      <c r="A38" s="10">
        <v>10.0</v>
      </c>
      <c r="B38" s="10" t="s">
        <v>25</v>
      </c>
      <c r="C38" s="11" t="s">
        <v>26</v>
      </c>
      <c r="D38" s="21">
        <v>0.8</v>
      </c>
      <c r="E38" s="21">
        <v>0.4482</v>
      </c>
      <c r="F38" s="21">
        <v>0.678</v>
      </c>
      <c r="G38" s="21">
        <v>0.7909</v>
      </c>
      <c r="H38" s="24">
        <v>1.1291</v>
      </c>
      <c r="I38" s="24">
        <v>1.1852</v>
      </c>
      <c r="J38" s="57">
        <f t="shared" si="20"/>
        <v>1.1852</v>
      </c>
      <c r="K38" s="15">
        <f t="shared" si="17"/>
        <v>1.4815</v>
      </c>
      <c r="L38" s="58">
        <f t="shared" si="21"/>
        <v>1.4815</v>
      </c>
      <c r="M38" s="78">
        <f t="shared" si="22"/>
        <v>1.4815</v>
      </c>
      <c r="N38" s="18">
        <v>23.0</v>
      </c>
      <c r="O38" s="19">
        <v>23.0</v>
      </c>
      <c r="P38" s="20" t="s">
        <v>123</v>
      </c>
    </row>
    <row r="39">
      <c r="A39" s="10">
        <v>26.0</v>
      </c>
      <c r="B39" s="10" t="s">
        <v>27</v>
      </c>
      <c r="C39" s="10" t="s">
        <v>109</v>
      </c>
      <c r="D39" s="19">
        <v>860.0</v>
      </c>
      <c r="E39" s="18">
        <v>195.0</v>
      </c>
      <c r="F39" s="18">
        <v>225.0</v>
      </c>
      <c r="G39" s="18">
        <v>153.0</v>
      </c>
      <c r="H39" s="18">
        <v>104.0</v>
      </c>
      <c r="I39" s="29">
        <v>105.0</v>
      </c>
      <c r="J39" s="45">
        <f t="shared" ref="J39:J41" si="23">sum(E39:I39)</f>
        <v>782</v>
      </c>
      <c r="K39" s="15">
        <f t="shared" si="17"/>
        <v>0.9093023256</v>
      </c>
      <c r="L39" s="16">
        <f t="shared" ref="L39:L44" si="24">J39/O39*N39</f>
        <v>782</v>
      </c>
      <c r="M39" s="59">
        <f t="shared" ref="M39:M51" si="25">L39/D39</f>
        <v>0.9093023256</v>
      </c>
      <c r="N39" s="18">
        <v>23.0</v>
      </c>
      <c r="O39" s="60">
        <v>23.0</v>
      </c>
      <c r="P39" s="20" t="s">
        <v>124</v>
      </c>
    </row>
    <row r="40">
      <c r="A40" s="10">
        <v>15.0</v>
      </c>
      <c r="B40" s="10" t="s">
        <v>29</v>
      </c>
      <c r="C40" s="10" t="s">
        <v>110</v>
      </c>
      <c r="D40" s="12">
        <v>1.309E7</v>
      </c>
      <c r="E40" s="19">
        <v>1340000.0</v>
      </c>
      <c r="F40" s="12">
        <v>1082000.0</v>
      </c>
      <c r="G40" s="19">
        <v>1215000.0</v>
      </c>
      <c r="H40" s="19">
        <v>1284000.0</v>
      </c>
      <c r="I40" s="19">
        <v>554000.0</v>
      </c>
      <c r="J40" s="30">
        <f t="shared" si="23"/>
        <v>5475000</v>
      </c>
      <c r="K40" s="15">
        <f t="shared" si="17"/>
        <v>0.4182582124</v>
      </c>
      <c r="L40" s="16">
        <f t="shared" si="24"/>
        <v>5475000</v>
      </c>
      <c r="M40" s="59">
        <f t="shared" si="25"/>
        <v>0.4182582124</v>
      </c>
      <c r="N40" s="62">
        <v>23.0</v>
      </c>
      <c r="O40" s="60">
        <v>23.0</v>
      </c>
      <c r="P40" s="20" t="s">
        <v>124</v>
      </c>
    </row>
    <row r="41">
      <c r="A41" s="10">
        <v>35.0</v>
      </c>
      <c r="B41" s="10" t="s">
        <v>31</v>
      </c>
      <c r="C41" s="10" t="s">
        <v>109</v>
      </c>
      <c r="D41" s="14">
        <f>D14</f>
        <v>248924559.1</v>
      </c>
      <c r="E41" s="12">
        <v>4.5017479E7</v>
      </c>
      <c r="F41" s="12">
        <v>7.537182E7</v>
      </c>
      <c r="G41" s="12">
        <v>5.9937973E7</v>
      </c>
      <c r="H41" s="12">
        <v>3.7625671E7</v>
      </c>
      <c r="I41" s="12">
        <v>4.9841253E7</v>
      </c>
      <c r="J41" s="14">
        <f t="shared" si="23"/>
        <v>267794196</v>
      </c>
      <c r="K41" s="15">
        <f t="shared" si="17"/>
        <v>1.075804641</v>
      </c>
      <c r="L41" s="16">
        <f t="shared" si="24"/>
        <v>267794196</v>
      </c>
      <c r="M41" s="59">
        <f t="shared" si="25"/>
        <v>1.075804641</v>
      </c>
      <c r="N41" s="70">
        <f t="shared" ref="N41:N49" si="27">N14</f>
        <v>23</v>
      </c>
      <c r="O41" s="82">
        <v>23.0</v>
      </c>
      <c r="P41" s="20" t="s">
        <v>124</v>
      </c>
    </row>
    <row r="42">
      <c r="A42" s="10">
        <v>102.0</v>
      </c>
      <c r="B42" s="11" t="s">
        <v>32</v>
      </c>
      <c r="C42" s="10" t="s">
        <v>76</v>
      </c>
      <c r="D42" s="19">
        <v>18885.0</v>
      </c>
      <c r="E42" s="18">
        <f t="shared" ref="E42:I42" si="26">E15</f>
        <v>2728</v>
      </c>
      <c r="F42" s="18">
        <f t="shared" si="26"/>
        <v>3583</v>
      </c>
      <c r="G42" s="18">
        <f t="shared" si="26"/>
        <v>3693</v>
      </c>
      <c r="H42" s="18">
        <f t="shared" si="26"/>
        <v>3421</v>
      </c>
      <c r="I42" s="18">
        <f t="shared" si="26"/>
        <v>2679</v>
      </c>
      <c r="J42" s="45">
        <f t="shared" ref="J42:J51" si="29">SUM(E42:I42)</f>
        <v>16104</v>
      </c>
      <c r="K42" s="15">
        <f t="shared" si="17"/>
        <v>0.8527402701</v>
      </c>
      <c r="L42" s="16">
        <f t="shared" si="24"/>
        <v>16104</v>
      </c>
      <c r="M42" s="59">
        <f t="shared" si="25"/>
        <v>0.8527402701</v>
      </c>
      <c r="N42" s="18">
        <f t="shared" si="27"/>
        <v>23</v>
      </c>
      <c r="O42" s="18">
        <f t="shared" ref="O42:O48" si="30">O15</f>
        <v>23</v>
      </c>
      <c r="P42" s="20" t="s">
        <v>113</v>
      </c>
    </row>
    <row r="43">
      <c r="A43" s="10">
        <v>5.0</v>
      </c>
      <c r="B43" s="10" t="s">
        <v>117</v>
      </c>
      <c r="C43" s="10" t="s">
        <v>76</v>
      </c>
      <c r="D43" s="19">
        <f t="shared" ref="D43:D48" si="31">D16</f>
        <v>1380</v>
      </c>
      <c r="E43" s="18">
        <v>100.0</v>
      </c>
      <c r="F43" s="18">
        <v>240.0</v>
      </c>
      <c r="G43" s="18">
        <f t="shared" ref="G43:H43" si="28">G16</f>
        <v>249</v>
      </c>
      <c r="H43" s="18">
        <f t="shared" si="28"/>
        <v>221</v>
      </c>
      <c r="I43" s="18">
        <f>201+52</f>
        <v>253</v>
      </c>
      <c r="J43" s="45">
        <f t="shared" si="29"/>
        <v>1063</v>
      </c>
      <c r="K43" s="15">
        <f t="shared" si="17"/>
        <v>0.7702898551</v>
      </c>
      <c r="L43" s="16">
        <f t="shared" si="24"/>
        <v>1063</v>
      </c>
      <c r="M43" s="59">
        <f t="shared" si="25"/>
        <v>0.7702898551</v>
      </c>
      <c r="N43" s="18">
        <f t="shared" si="27"/>
        <v>23</v>
      </c>
      <c r="O43" s="18">
        <f t="shared" si="30"/>
        <v>23</v>
      </c>
      <c r="P43" s="20" t="s">
        <v>113</v>
      </c>
    </row>
    <row r="44">
      <c r="A44" s="10">
        <v>8.0</v>
      </c>
      <c r="B44" s="10" t="s">
        <v>118</v>
      </c>
      <c r="C44" s="10" t="s">
        <v>76</v>
      </c>
      <c r="D44" s="19">
        <f t="shared" si="31"/>
        <v>1359</v>
      </c>
      <c r="E44" s="19">
        <v>50.0</v>
      </c>
      <c r="F44" s="19">
        <v>345.0</v>
      </c>
      <c r="G44" s="19">
        <v>150.0</v>
      </c>
      <c r="H44" s="19">
        <f>H17</f>
        <v>208</v>
      </c>
      <c r="I44" s="34">
        <v>224.0</v>
      </c>
      <c r="J44" s="30">
        <f t="shared" si="29"/>
        <v>977</v>
      </c>
      <c r="K44" s="15">
        <f t="shared" si="17"/>
        <v>0.7189109639</v>
      </c>
      <c r="L44" s="16">
        <f t="shared" si="24"/>
        <v>977</v>
      </c>
      <c r="M44" s="59">
        <f t="shared" si="25"/>
        <v>0.7189109639</v>
      </c>
      <c r="N44" s="18">
        <f t="shared" si="27"/>
        <v>23</v>
      </c>
      <c r="O44" s="18">
        <f t="shared" si="30"/>
        <v>23</v>
      </c>
      <c r="P44" s="20" t="s">
        <v>113</v>
      </c>
    </row>
    <row r="45">
      <c r="A45" s="10">
        <v>39.0</v>
      </c>
      <c r="B45" s="11" t="s">
        <v>35</v>
      </c>
      <c r="C45" s="11" t="s">
        <v>19</v>
      </c>
      <c r="D45" s="19">
        <f t="shared" si="31"/>
        <v>535080000</v>
      </c>
      <c r="E45" s="19">
        <f t="shared" ref="E45:I45" si="32">E18</f>
        <v>153766000</v>
      </c>
      <c r="F45" s="19">
        <f t="shared" si="32"/>
        <v>171770197</v>
      </c>
      <c r="G45" s="19">
        <f t="shared" si="32"/>
        <v>214712700</v>
      </c>
      <c r="H45" s="19">
        <f t="shared" si="32"/>
        <v>167192900</v>
      </c>
      <c r="I45" s="46">
        <f t="shared" si="32"/>
        <v>209229724</v>
      </c>
      <c r="J45" s="30">
        <f t="shared" si="29"/>
        <v>916671521</v>
      </c>
      <c r="K45" s="15">
        <f t="shared" si="17"/>
        <v>1.71314854</v>
      </c>
      <c r="L45" s="16">
        <f t="shared" ref="L45:L48" si="34">L18</f>
        <v>916671521</v>
      </c>
      <c r="M45" s="59">
        <f t="shared" si="25"/>
        <v>1.71314854</v>
      </c>
      <c r="N45" s="18">
        <f t="shared" si="27"/>
        <v>23</v>
      </c>
      <c r="O45" s="18">
        <f t="shared" si="30"/>
        <v>23</v>
      </c>
      <c r="P45" s="20" t="str">
        <f t="shared" ref="P45:P49" si="35">P18</f>
        <v>As of July 31, 2025 - FINAL</v>
      </c>
    </row>
    <row r="46">
      <c r="A46" s="10">
        <v>11.0</v>
      </c>
      <c r="B46" s="11" t="s">
        <v>37</v>
      </c>
      <c r="C46" s="11" t="s">
        <v>19</v>
      </c>
      <c r="D46" s="19">
        <f t="shared" si="31"/>
        <v>1800</v>
      </c>
      <c r="E46" s="19">
        <f t="shared" ref="E46:I46" si="33">E19</f>
        <v>180</v>
      </c>
      <c r="F46" s="19">
        <f t="shared" si="33"/>
        <v>278</v>
      </c>
      <c r="G46" s="19">
        <f t="shared" si="33"/>
        <v>314</v>
      </c>
      <c r="H46" s="19">
        <f t="shared" si="33"/>
        <v>240</v>
      </c>
      <c r="I46" s="46">
        <f t="shared" si="33"/>
        <v>190</v>
      </c>
      <c r="J46" s="30">
        <f t="shared" si="29"/>
        <v>1202</v>
      </c>
      <c r="K46" s="15">
        <f t="shared" si="17"/>
        <v>0.6677777778</v>
      </c>
      <c r="L46" s="16">
        <f t="shared" si="34"/>
        <v>1202</v>
      </c>
      <c r="M46" s="59">
        <f t="shared" si="25"/>
        <v>0.6677777778</v>
      </c>
      <c r="N46" s="18">
        <f t="shared" si="27"/>
        <v>23</v>
      </c>
      <c r="O46" s="18">
        <f t="shared" si="30"/>
        <v>23</v>
      </c>
      <c r="P46" s="20" t="str">
        <f t="shared" si="35"/>
        <v>As of July 31, 2025 - FINAL</v>
      </c>
    </row>
    <row r="47">
      <c r="A47" s="10">
        <v>5.0</v>
      </c>
      <c r="B47" s="11" t="s">
        <v>38</v>
      </c>
      <c r="C47" s="11" t="s">
        <v>19</v>
      </c>
      <c r="D47" s="19">
        <f t="shared" si="31"/>
        <v>2200</v>
      </c>
      <c r="E47" s="19">
        <f t="shared" ref="E47:I47" si="36">E20</f>
        <v>342</v>
      </c>
      <c r="F47" s="19">
        <f t="shared" si="36"/>
        <v>527</v>
      </c>
      <c r="G47" s="19">
        <f t="shared" si="36"/>
        <v>669</v>
      </c>
      <c r="H47" s="19">
        <f t="shared" si="36"/>
        <v>546</v>
      </c>
      <c r="I47" s="46">
        <f t="shared" si="36"/>
        <v>509</v>
      </c>
      <c r="J47" s="30">
        <f t="shared" si="29"/>
        <v>2593</v>
      </c>
      <c r="K47" s="15">
        <f t="shared" si="17"/>
        <v>1.178636364</v>
      </c>
      <c r="L47" s="16">
        <f t="shared" si="34"/>
        <v>2593</v>
      </c>
      <c r="M47" s="59">
        <f t="shared" si="25"/>
        <v>1.178636364</v>
      </c>
      <c r="N47" s="18">
        <f t="shared" si="27"/>
        <v>23</v>
      </c>
      <c r="O47" s="18">
        <f t="shared" si="30"/>
        <v>23</v>
      </c>
      <c r="P47" s="20" t="str">
        <f t="shared" si="35"/>
        <v>As of July 31, 2025 - FINAL</v>
      </c>
    </row>
    <row r="48">
      <c r="A48" s="10">
        <v>20.0</v>
      </c>
      <c r="B48" s="10" t="s">
        <v>39</v>
      </c>
      <c r="C48" s="11" t="s">
        <v>19</v>
      </c>
      <c r="D48" s="19">
        <f t="shared" si="31"/>
        <v>3400</v>
      </c>
      <c r="E48" s="19">
        <f t="shared" ref="E48:I48" si="37">E21</f>
        <v>842</v>
      </c>
      <c r="F48" s="19">
        <f t="shared" si="37"/>
        <v>1341</v>
      </c>
      <c r="G48" s="19">
        <f t="shared" si="37"/>
        <v>1013</v>
      </c>
      <c r="H48" s="19">
        <f t="shared" si="37"/>
        <v>901</v>
      </c>
      <c r="I48" s="46">
        <f t="shared" si="37"/>
        <v>723</v>
      </c>
      <c r="J48" s="30">
        <f t="shared" si="29"/>
        <v>4820</v>
      </c>
      <c r="K48" s="15">
        <f t="shared" si="17"/>
        <v>1.417647059</v>
      </c>
      <c r="L48" s="16">
        <f t="shared" si="34"/>
        <v>4820</v>
      </c>
      <c r="M48" s="59">
        <f t="shared" si="25"/>
        <v>1.417647059</v>
      </c>
      <c r="N48" s="18">
        <f t="shared" si="27"/>
        <v>23</v>
      </c>
      <c r="O48" s="18">
        <f t="shared" si="30"/>
        <v>23</v>
      </c>
      <c r="P48" s="20" t="str">
        <f t="shared" si="35"/>
        <v>As of July 31, 2025 - FINAL</v>
      </c>
    </row>
    <row r="49">
      <c r="A49" s="10">
        <v>20.0</v>
      </c>
      <c r="B49" s="10" t="s">
        <v>77</v>
      </c>
      <c r="C49" s="11" t="s">
        <v>19</v>
      </c>
      <c r="D49" s="12">
        <v>260.0</v>
      </c>
      <c r="E49" s="19">
        <v>34.0</v>
      </c>
      <c r="F49" s="29">
        <v>71.0</v>
      </c>
      <c r="G49" s="29">
        <v>44.0</v>
      </c>
      <c r="H49" s="29">
        <v>42.0</v>
      </c>
      <c r="I49" s="29">
        <v>36.0</v>
      </c>
      <c r="J49" s="30">
        <f t="shared" si="29"/>
        <v>227</v>
      </c>
      <c r="K49" s="15">
        <f t="shared" si="17"/>
        <v>0.8730769231</v>
      </c>
      <c r="L49" s="16">
        <f t="shared" ref="L49:L51" si="38">J49/O49*N49</f>
        <v>237.3181818</v>
      </c>
      <c r="M49" s="59">
        <f t="shared" si="25"/>
        <v>0.9127622378</v>
      </c>
      <c r="N49" s="18">
        <f t="shared" si="27"/>
        <v>23</v>
      </c>
      <c r="O49" s="18">
        <v>22.0</v>
      </c>
      <c r="P49" s="86" t="str">
        <f t="shared" si="35"/>
        <v>As of July 31, 2025 - FINAL</v>
      </c>
    </row>
    <row r="50">
      <c r="A50" s="10">
        <v>21.0</v>
      </c>
      <c r="B50" s="10" t="s">
        <v>73</v>
      </c>
      <c r="C50" s="11" t="s">
        <v>19</v>
      </c>
      <c r="D50" s="12">
        <v>1739.0</v>
      </c>
      <c r="E50" s="19">
        <v>245.0</v>
      </c>
      <c r="F50" s="29">
        <v>441.0</v>
      </c>
      <c r="G50" s="29">
        <v>343.0</v>
      </c>
      <c r="H50" s="87">
        <v>302.0</v>
      </c>
      <c r="I50" s="88">
        <v>408.0</v>
      </c>
      <c r="J50" s="30">
        <f t="shared" si="29"/>
        <v>1739</v>
      </c>
      <c r="K50" s="15">
        <f t="shared" si="17"/>
        <v>1</v>
      </c>
      <c r="L50" s="16">
        <f t="shared" si="38"/>
        <v>1739</v>
      </c>
      <c r="M50" s="59">
        <f t="shared" si="25"/>
        <v>1</v>
      </c>
      <c r="N50" s="18">
        <v>23.0</v>
      </c>
      <c r="O50" s="18">
        <v>23.0</v>
      </c>
      <c r="P50" s="20" t="s">
        <v>125</v>
      </c>
    </row>
    <row r="51">
      <c r="A51" s="10">
        <v>1.0</v>
      </c>
      <c r="B51" s="10" t="s">
        <v>43</v>
      </c>
      <c r="C51" s="11" t="s">
        <v>19</v>
      </c>
      <c r="D51" s="12">
        <v>30.0</v>
      </c>
      <c r="E51" s="12">
        <v>9.0</v>
      </c>
      <c r="F51" s="12">
        <v>10.0</v>
      </c>
      <c r="G51" s="12">
        <v>9.0</v>
      </c>
      <c r="H51" s="12">
        <v>9.0</v>
      </c>
      <c r="I51" s="12">
        <v>6.0</v>
      </c>
      <c r="J51" s="14">
        <f t="shared" si="29"/>
        <v>43</v>
      </c>
      <c r="K51" s="15">
        <f t="shared" si="17"/>
        <v>1.433333333</v>
      </c>
      <c r="L51" s="16">
        <f t="shared" si="38"/>
        <v>43</v>
      </c>
      <c r="M51" s="59">
        <f t="shared" si="25"/>
        <v>1.433333333</v>
      </c>
      <c r="N51" s="18">
        <f t="shared" ref="N51:P51" si="39">N24</f>
        <v>23</v>
      </c>
      <c r="O51" s="18">
        <f t="shared" si="39"/>
        <v>23</v>
      </c>
      <c r="P51" s="68" t="str">
        <f t="shared" si="39"/>
        <v>as of July 31, 2025</v>
      </c>
    </row>
    <row r="52">
      <c r="A52" s="10">
        <v>45.0</v>
      </c>
      <c r="B52" s="10" t="s">
        <v>44</v>
      </c>
      <c r="C52" s="11" t="s">
        <v>19</v>
      </c>
      <c r="D52" s="21">
        <v>0.85</v>
      </c>
      <c r="E52" s="21">
        <v>0.84</v>
      </c>
      <c r="F52" s="24">
        <v>0.82</v>
      </c>
      <c r="G52" s="24">
        <v>0.75</v>
      </c>
      <c r="H52" s="24">
        <v>0.81</v>
      </c>
      <c r="I52" s="24">
        <v>0.88</v>
      </c>
      <c r="J52" s="57">
        <f>AVERAGE(E52:I52)</f>
        <v>0.82</v>
      </c>
      <c r="K52" s="15">
        <f t="shared" si="17"/>
        <v>0.9647058824</v>
      </c>
      <c r="L52" s="73">
        <f t="shared" ref="L52:M52" si="40">J52</f>
        <v>0.82</v>
      </c>
      <c r="M52" s="59">
        <f t="shared" si="40"/>
        <v>0.9647058824</v>
      </c>
      <c r="N52" s="18">
        <f t="shared" ref="N52:N53" si="42">N25</f>
        <v>31</v>
      </c>
      <c r="O52" s="18">
        <v>31.0</v>
      </c>
      <c r="P52" s="68" t="str">
        <f t="shared" ref="P52:P53" si="43">P25</f>
        <v>as of July 31, 2025</v>
      </c>
    </row>
    <row r="53">
      <c r="A53" s="10">
        <v>55.0</v>
      </c>
      <c r="B53" s="10" t="s">
        <v>120</v>
      </c>
      <c r="C53" s="10" t="s">
        <v>121</v>
      </c>
      <c r="D53" s="21">
        <f>D26</f>
        <v>0.85</v>
      </c>
      <c r="E53" s="21">
        <v>0.81</v>
      </c>
      <c r="F53" s="21">
        <v>0.81</v>
      </c>
      <c r="G53" s="21">
        <v>0.7694</v>
      </c>
      <c r="H53" s="21">
        <v>0.75</v>
      </c>
      <c r="I53" s="21"/>
      <c r="J53" s="21">
        <v>0.74</v>
      </c>
      <c r="K53" s="15">
        <f t="shared" si="17"/>
        <v>0.8705882353</v>
      </c>
      <c r="L53" s="22">
        <f t="shared" ref="L53:M53" si="41">K53</f>
        <v>0.8705882353</v>
      </c>
      <c r="M53" s="22">
        <f t="shared" si="41"/>
        <v>0.8705882353</v>
      </c>
      <c r="N53" s="19">
        <f t="shared" si="42"/>
        <v>23</v>
      </c>
      <c r="O53" s="19">
        <v>23.0</v>
      </c>
      <c r="P53" s="21" t="str">
        <f t="shared" si="43"/>
        <v>as of July 31, 2025</v>
      </c>
    </row>
    <row r="54">
      <c r="A54" s="35"/>
      <c r="B54" s="35"/>
      <c r="C54" s="35"/>
      <c r="D54" s="38"/>
      <c r="E54" s="38"/>
      <c r="F54" s="38"/>
      <c r="G54" s="38"/>
      <c r="H54" s="38"/>
      <c r="I54" s="38"/>
      <c r="J54" s="38"/>
      <c r="K54" s="38"/>
      <c r="L54" s="38"/>
      <c r="M54" s="74"/>
      <c r="N54" s="38"/>
      <c r="O54" s="38"/>
    </row>
    <row r="55">
      <c r="A55" s="35"/>
      <c r="B55" s="35"/>
      <c r="C55" s="35"/>
      <c r="D55" s="38"/>
      <c r="E55" s="38"/>
      <c r="F55" s="36"/>
      <c r="G55" s="38"/>
      <c r="H55" s="38"/>
      <c r="I55" s="38"/>
      <c r="J55" s="55"/>
      <c r="K55" s="56"/>
      <c r="L55" s="38"/>
      <c r="M55" s="38"/>
      <c r="N55" s="38"/>
      <c r="O55" s="38"/>
    </row>
    <row r="56">
      <c r="A56" s="35"/>
      <c r="B56" s="35"/>
      <c r="C56" s="35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</row>
    <row r="57">
      <c r="A57" s="35"/>
      <c r="C57" s="35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</row>
    <row r="58">
      <c r="A58" s="35"/>
      <c r="B58" s="35"/>
      <c r="C58" s="35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</row>
    <row r="59">
      <c r="A59" s="35"/>
      <c r="B59" s="35"/>
      <c r="C59" s="35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</row>
    <row r="60">
      <c r="A60" s="35"/>
      <c r="B60" s="35"/>
      <c r="C60" s="35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</row>
    <row r="61">
      <c r="A61" s="35"/>
      <c r="B61" s="35"/>
      <c r="C61" s="35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</row>
    <row r="62">
      <c r="A62" s="35"/>
      <c r="B62" s="35"/>
      <c r="C62" s="35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</row>
    <row r="63">
      <c r="A63" s="35"/>
      <c r="B63" s="35"/>
      <c r="C63" s="35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</row>
    <row r="64">
      <c r="A64" s="35"/>
      <c r="B64" s="35"/>
      <c r="C64" s="35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</row>
    <row r="65">
      <c r="A65" s="35"/>
      <c r="B65" s="35"/>
      <c r="C65" s="35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</row>
    <row r="66">
      <c r="A66" s="35"/>
      <c r="B66" s="35"/>
      <c r="C66" s="35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</row>
    <row r="67">
      <c r="A67" s="35"/>
      <c r="B67" s="35"/>
      <c r="C67" s="35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</row>
    <row r="68">
      <c r="A68" s="35"/>
      <c r="B68" s="35"/>
      <c r="C68" s="35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</row>
    <row r="69">
      <c r="A69" s="35"/>
      <c r="B69" s="35"/>
      <c r="C69" s="35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</row>
    <row r="70">
      <c r="A70" s="35"/>
      <c r="B70" s="35"/>
      <c r="C70" s="35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</row>
    <row r="71">
      <c r="A71" s="35"/>
      <c r="B71" s="35"/>
      <c r="C71" s="35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</row>
    <row r="72">
      <c r="A72" s="35"/>
      <c r="B72" s="35"/>
      <c r="C72" s="35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</row>
    <row r="73">
      <c r="A73" s="35"/>
      <c r="B73" s="35"/>
      <c r="C73" s="35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</row>
    <row r="74">
      <c r="A74" s="35"/>
      <c r="B74" s="35"/>
      <c r="C74" s="35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</row>
    <row r="75">
      <c r="A75" s="35"/>
      <c r="B75" s="35"/>
      <c r="C75" s="35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</row>
    <row r="76">
      <c r="A76" s="35"/>
      <c r="B76" s="35"/>
      <c r="C76" s="35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</row>
    <row r="77">
      <c r="A77" s="35"/>
      <c r="B77" s="35"/>
      <c r="C77" s="35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</row>
    <row r="78">
      <c r="A78" s="35"/>
      <c r="B78" s="35"/>
      <c r="C78" s="35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</row>
    <row r="79">
      <c r="A79" s="35"/>
      <c r="B79" s="35"/>
      <c r="C79" s="35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</row>
    <row r="80">
      <c r="A80" s="35"/>
      <c r="B80" s="35"/>
      <c r="C80" s="35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</row>
    <row r="81">
      <c r="A81" s="35"/>
      <c r="B81" s="35"/>
      <c r="C81" s="35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</row>
    <row r="82">
      <c r="A82" s="35"/>
      <c r="B82" s="35"/>
      <c r="C82" s="35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</row>
    <row r="83">
      <c r="A83" s="35"/>
      <c r="B83" s="35"/>
      <c r="C83" s="35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</row>
    <row r="84">
      <c r="A84" s="35"/>
      <c r="B84" s="35"/>
      <c r="C84" s="35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</row>
    <row r="85">
      <c r="A85" s="35"/>
      <c r="B85" s="35"/>
      <c r="C85" s="35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</row>
    <row r="86">
      <c r="A86" s="35"/>
      <c r="B86" s="35"/>
      <c r="C86" s="35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</row>
    <row r="87">
      <c r="A87" s="35"/>
      <c r="B87" s="35"/>
      <c r="C87" s="35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</row>
    <row r="88">
      <c r="A88" s="35"/>
      <c r="B88" s="35"/>
      <c r="C88" s="35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</row>
    <row r="89">
      <c r="A89" s="35"/>
      <c r="B89" s="35"/>
      <c r="C89" s="35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</row>
    <row r="90">
      <c r="A90" s="35"/>
      <c r="B90" s="35"/>
      <c r="C90" s="35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</row>
    <row r="91">
      <c r="A91" s="35"/>
      <c r="B91" s="35"/>
      <c r="C91" s="35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</row>
    <row r="92">
      <c r="A92" s="35"/>
      <c r="B92" s="35"/>
      <c r="C92" s="35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</row>
    <row r="93">
      <c r="A93" s="35"/>
      <c r="B93" s="35"/>
      <c r="C93" s="35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</row>
    <row r="94">
      <c r="A94" s="35"/>
      <c r="B94" s="35"/>
      <c r="C94" s="35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</row>
    <row r="95">
      <c r="A95" s="35"/>
      <c r="B95" s="35"/>
      <c r="C95" s="35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</row>
    <row r="96">
      <c r="A96" s="35"/>
      <c r="B96" s="35"/>
      <c r="C96" s="35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</row>
    <row r="97">
      <c r="A97" s="35"/>
      <c r="B97" s="35"/>
      <c r="C97" s="35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</row>
    <row r="98">
      <c r="A98" s="35"/>
      <c r="B98" s="35"/>
      <c r="C98" s="35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</row>
    <row r="99">
      <c r="A99" s="35"/>
      <c r="B99" s="35"/>
      <c r="C99" s="35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</row>
    <row r="100">
      <c r="A100" s="35"/>
      <c r="B100" s="35"/>
      <c r="C100" s="35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</row>
    <row r="101">
      <c r="A101" s="35"/>
      <c r="B101" s="35"/>
      <c r="C101" s="35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</row>
    <row r="102">
      <c r="A102" s="35"/>
      <c r="B102" s="35"/>
      <c r="C102" s="35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</row>
    <row r="103">
      <c r="A103" s="35"/>
      <c r="B103" s="35"/>
      <c r="C103" s="35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</row>
    <row r="104">
      <c r="A104" s="35"/>
      <c r="B104" s="35"/>
      <c r="C104" s="35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</row>
    <row r="105">
      <c r="A105" s="35"/>
      <c r="B105" s="35"/>
      <c r="C105" s="35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</row>
    <row r="106">
      <c r="A106" s="35"/>
      <c r="B106" s="35"/>
      <c r="C106" s="35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</row>
    <row r="107">
      <c r="A107" s="35"/>
      <c r="B107" s="35"/>
      <c r="C107" s="35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</row>
    <row r="108">
      <c r="A108" s="35"/>
      <c r="B108" s="35"/>
      <c r="C108" s="35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</row>
    <row r="109">
      <c r="A109" s="35"/>
      <c r="B109" s="35"/>
      <c r="C109" s="35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</row>
    <row r="110">
      <c r="A110" s="35"/>
      <c r="B110" s="35"/>
      <c r="C110" s="35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</row>
    <row r="111">
      <c r="A111" s="35"/>
      <c r="B111" s="35"/>
      <c r="C111" s="35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</row>
    <row r="112">
      <c r="A112" s="35"/>
      <c r="B112" s="35"/>
      <c r="C112" s="35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</row>
    <row r="113">
      <c r="A113" s="35"/>
      <c r="B113" s="35"/>
      <c r="C113" s="35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</row>
    <row r="114">
      <c r="A114" s="35"/>
      <c r="B114" s="35"/>
      <c r="C114" s="35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</row>
    <row r="115">
      <c r="A115" s="35"/>
      <c r="B115" s="35"/>
      <c r="C115" s="35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</row>
    <row r="116">
      <c r="A116" s="35"/>
      <c r="B116" s="35"/>
      <c r="C116" s="35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</row>
    <row r="117">
      <c r="A117" s="35"/>
      <c r="B117" s="35"/>
      <c r="C117" s="35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</row>
    <row r="118">
      <c r="A118" s="35"/>
      <c r="B118" s="35"/>
      <c r="C118" s="35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</row>
    <row r="119">
      <c r="A119" s="35"/>
      <c r="B119" s="35"/>
      <c r="C119" s="35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</row>
    <row r="120">
      <c r="A120" s="35"/>
      <c r="B120" s="35"/>
      <c r="C120" s="35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</row>
    <row r="121">
      <c r="A121" s="35"/>
      <c r="B121" s="35"/>
      <c r="C121" s="35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</row>
    <row r="122">
      <c r="A122" s="35"/>
      <c r="B122" s="35"/>
      <c r="C122" s="35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</row>
    <row r="123">
      <c r="A123" s="35"/>
      <c r="B123" s="35"/>
      <c r="C123" s="35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</row>
    <row r="124">
      <c r="A124" s="35"/>
      <c r="B124" s="35"/>
      <c r="C124" s="35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</row>
    <row r="125">
      <c r="A125" s="35"/>
      <c r="B125" s="35"/>
      <c r="C125" s="35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</row>
    <row r="126">
      <c r="A126" s="35"/>
      <c r="B126" s="35"/>
      <c r="C126" s="35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</row>
    <row r="127">
      <c r="A127" s="35"/>
      <c r="B127" s="35"/>
      <c r="C127" s="35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</row>
    <row r="128">
      <c r="A128" s="35"/>
      <c r="B128" s="35"/>
      <c r="C128" s="35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</row>
    <row r="129">
      <c r="A129" s="35"/>
      <c r="B129" s="35"/>
      <c r="C129" s="35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</row>
    <row r="130">
      <c r="A130" s="35"/>
      <c r="B130" s="35"/>
      <c r="C130" s="35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</row>
    <row r="131">
      <c r="A131" s="35"/>
      <c r="B131" s="35"/>
      <c r="C131" s="35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</row>
    <row r="132">
      <c r="A132" s="35"/>
      <c r="B132" s="35"/>
      <c r="C132" s="35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</row>
    <row r="133">
      <c r="A133" s="35"/>
      <c r="B133" s="35"/>
      <c r="C133" s="35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</row>
    <row r="134">
      <c r="A134" s="35"/>
      <c r="B134" s="35"/>
      <c r="C134" s="35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</row>
    <row r="135">
      <c r="A135" s="35"/>
      <c r="B135" s="35"/>
      <c r="C135" s="35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</row>
    <row r="136">
      <c r="A136" s="35"/>
      <c r="B136" s="35"/>
      <c r="C136" s="35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</row>
    <row r="137">
      <c r="A137" s="35"/>
      <c r="B137" s="35"/>
      <c r="C137" s="35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</row>
    <row r="138">
      <c r="A138" s="35"/>
      <c r="B138" s="35"/>
      <c r="C138" s="35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</row>
    <row r="139">
      <c r="A139" s="35"/>
      <c r="B139" s="35"/>
      <c r="C139" s="35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</row>
    <row r="140">
      <c r="A140" s="35"/>
      <c r="B140" s="35"/>
      <c r="C140" s="35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</row>
    <row r="141">
      <c r="A141" s="35"/>
      <c r="B141" s="35"/>
      <c r="C141" s="35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</row>
    <row r="142">
      <c r="A142" s="35"/>
      <c r="B142" s="35"/>
      <c r="C142" s="35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</row>
    <row r="143">
      <c r="A143" s="35"/>
      <c r="B143" s="35"/>
      <c r="C143" s="35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</row>
    <row r="144">
      <c r="A144" s="35"/>
      <c r="B144" s="35"/>
      <c r="C144" s="35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</row>
    <row r="145">
      <c r="A145" s="35"/>
      <c r="B145" s="35"/>
      <c r="C145" s="35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</row>
    <row r="146">
      <c r="A146" s="35"/>
      <c r="B146" s="35"/>
      <c r="C146" s="35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</row>
    <row r="147">
      <c r="A147" s="35"/>
      <c r="B147" s="35"/>
      <c r="C147" s="35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</row>
    <row r="148">
      <c r="A148" s="35"/>
      <c r="B148" s="35"/>
      <c r="C148" s="35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</row>
    <row r="149">
      <c r="A149" s="35"/>
      <c r="B149" s="35"/>
      <c r="C149" s="35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</row>
    <row r="150">
      <c r="A150" s="35"/>
      <c r="B150" s="35"/>
      <c r="C150" s="35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</row>
    <row r="151">
      <c r="A151" s="35"/>
      <c r="B151" s="35"/>
      <c r="C151" s="35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</row>
    <row r="152">
      <c r="A152" s="35"/>
      <c r="B152" s="35"/>
      <c r="C152" s="35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</row>
    <row r="153">
      <c r="A153" s="35"/>
      <c r="B153" s="35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</row>
    <row r="154">
      <c r="A154" s="35"/>
      <c r="B154" s="35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</row>
    <row r="155">
      <c r="A155" s="35"/>
      <c r="B155" s="35"/>
      <c r="C155" s="35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</row>
    <row r="156">
      <c r="A156" s="35"/>
      <c r="B156" s="35"/>
      <c r="C156" s="35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</row>
    <row r="157">
      <c r="A157" s="35"/>
      <c r="B157" s="35"/>
      <c r="C157" s="35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</row>
    <row r="158">
      <c r="A158" s="35"/>
      <c r="B158" s="35"/>
      <c r="C158" s="35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</row>
    <row r="159">
      <c r="A159" s="35"/>
      <c r="B159" s="35"/>
      <c r="C159" s="35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</row>
    <row r="160">
      <c r="A160" s="35"/>
      <c r="B160" s="35"/>
      <c r="C160" s="35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</row>
    <row r="161">
      <c r="A161" s="35"/>
      <c r="B161" s="35"/>
      <c r="C161" s="35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</row>
    <row r="162">
      <c r="A162" s="35"/>
      <c r="B162" s="35"/>
      <c r="C162" s="35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</row>
    <row r="163">
      <c r="A163" s="35"/>
      <c r="B163" s="35"/>
      <c r="C163" s="35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</row>
    <row r="164">
      <c r="A164" s="35"/>
      <c r="B164" s="35"/>
      <c r="C164" s="35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</row>
    <row r="165">
      <c r="A165" s="35"/>
      <c r="B165" s="35"/>
      <c r="C165" s="35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</row>
    <row r="166">
      <c r="A166" s="35"/>
      <c r="B166" s="35"/>
      <c r="C166" s="35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</row>
    <row r="167">
      <c r="A167" s="35"/>
      <c r="B167" s="35"/>
      <c r="C167" s="35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</row>
    <row r="168">
      <c r="A168" s="35"/>
      <c r="B168" s="35"/>
      <c r="C168" s="35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</row>
    <row r="169">
      <c r="A169" s="35"/>
      <c r="B169" s="35"/>
      <c r="C169" s="35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</row>
    <row r="170">
      <c r="A170" s="35"/>
      <c r="B170" s="35"/>
      <c r="C170" s="35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</row>
    <row r="171">
      <c r="A171" s="35"/>
      <c r="B171" s="35"/>
      <c r="C171" s="35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</row>
    <row r="172">
      <c r="A172" s="35"/>
      <c r="B172" s="35"/>
      <c r="C172" s="35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</row>
    <row r="173">
      <c r="A173" s="35"/>
      <c r="B173" s="35"/>
      <c r="C173" s="35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</row>
    <row r="174">
      <c r="A174" s="35"/>
      <c r="B174" s="35"/>
      <c r="C174" s="35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</row>
    <row r="175">
      <c r="A175" s="35"/>
      <c r="B175" s="35"/>
      <c r="C175" s="35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</row>
    <row r="176">
      <c r="A176" s="35"/>
      <c r="B176" s="35"/>
      <c r="C176" s="35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</row>
    <row r="177">
      <c r="A177" s="35"/>
      <c r="B177" s="35"/>
      <c r="C177" s="35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</row>
    <row r="178">
      <c r="A178" s="35"/>
      <c r="B178" s="35"/>
      <c r="C178" s="35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</row>
    <row r="179">
      <c r="A179" s="35"/>
      <c r="B179" s="35"/>
      <c r="C179" s="35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</row>
    <row r="180">
      <c r="A180" s="35"/>
      <c r="B180" s="35"/>
      <c r="C180" s="35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</row>
    <row r="181">
      <c r="A181" s="35"/>
      <c r="B181" s="35"/>
      <c r="C181" s="35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</row>
    <row r="182">
      <c r="A182" s="35"/>
      <c r="B182" s="35"/>
      <c r="C182" s="35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</row>
    <row r="183">
      <c r="A183" s="35"/>
      <c r="B183" s="35"/>
      <c r="C183" s="35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</row>
    <row r="184">
      <c r="A184" s="35"/>
      <c r="B184" s="35"/>
      <c r="C184" s="35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</row>
    <row r="185">
      <c r="A185" s="35"/>
      <c r="B185" s="35"/>
      <c r="C185" s="35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</row>
    <row r="186">
      <c r="A186" s="35"/>
      <c r="B186" s="35"/>
      <c r="C186" s="35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</row>
    <row r="187">
      <c r="A187" s="35"/>
      <c r="B187" s="35"/>
      <c r="C187" s="35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</row>
    <row r="188">
      <c r="A188" s="35"/>
      <c r="B188" s="35"/>
      <c r="C188" s="35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</row>
    <row r="189">
      <c r="A189" s="35"/>
      <c r="B189" s="35"/>
      <c r="C189" s="35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</row>
    <row r="190">
      <c r="A190" s="35"/>
      <c r="B190" s="35"/>
      <c r="C190" s="35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</row>
    <row r="191">
      <c r="A191" s="35"/>
      <c r="B191" s="35"/>
      <c r="C191" s="35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</row>
    <row r="192">
      <c r="A192" s="35"/>
      <c r="B192" s="35"/>
      <c r="C192" s="35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</row>
    <row r="193">
      <c r="A193" s="35"/>
      <c r="B193" s="35"/>
      <c r="C193" s="35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</row>
    <row r="194">
      <c r="A194" s="35"/>
      <c r="B194" s="35"/>
      <c r="C194" s="35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</row>
    <row r="195">
      <c r="A195" s="35"/>
      <c r="B195" s="35"/>
      <c r="C195" s="35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</row>
    <row r="196">
      <c r="A196" s="35"/>
      <c r="B196" s="35"/>
      <c r="C196" s="35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</row>
    <row r="197">
      <c r="A197" s="35"/>
      <c r="B197" s="35"/>
      <c r="C197" s="35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</row>
    <row r="198">
      <c r="A198" s="35"/>
      <c r="B198" s="35"/>
      <c r="C198" s="35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</row>
    <row r="199">
      <c r="A199" s="35"/>
      <c r="B199" s="35"/>
      <c r="C199" s="35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</row>
    <row r="200">
      <c r="A200" s="35"/>
      <c r="B200" s="35"/>
      <c r="C200" s="35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</row>
    <row r="201">
      <c r="A201" s="35"/>
      <c r="B201" s="35"/>
      <c r="C201" s="35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</row>
    <row r="202">
      <c r="A202" s="35"/>
      <c r="B202" s="35"/>
      <c r="C202" s="35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</row>
    <row r="203">
      <c r="A203" s="35"/>
      <c r="B203" s="35"/>
      <c r="C203" s="35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</row>
    <row r="204">
      <c r="A204" s="35"/>
      <c r="B204" s="35"/>
      <c r="C204" s="35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</row>
    <row r="205">
      <c r="A205" s="35"/>
      <c r="B205" s="35"/>
      <c r="C205" s="35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</row>
    <row r="206">
      <c r="A206" s="35"/>
      <c r="B206" s="35"/>
      <c r="C206" s="35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</row>
    <row r="207">
      <c r="A207" s="35"/>
      <c r="B207" s="35"/>
      <c r="C207" s="35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</row>
    <row r="208">
      <c r="A208" s="35"/>
      <c r="B208" s="35"/>
      <c r="C208" s="35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</row>
    <row r="209">
      <c r="A209" s="35"/>
      <c r="B209" s="35"/>
      <c r="C209" s="35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</row>
    <row r="210">
      <c r="A210" s="35"/>
      <c r="B210" s="35"/>
      <c r="C210" s="35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</row>
    <row r="211">
      <c r="A211" s="35"/>
      <c r="B211" s="35"/>
      <c r="C211" s="35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</row>
    <row r="212">
      <c r="A212" s="35"/>
      <c r="B212" s="35"/>
      <c r="C212" s="35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</row>
    <row r="213">
      <c r="A213" s="35"/>
      <c r="B213" s="35"/>
      <c r="C213" s="35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</row>
    <row r="214">
      <c r="A214" s="35"/>
      <c r="B214" s="35"/>
      <c r="C214" s="35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</row>
    <row r="215">
      <c r="A215" s="35"/>
      <c r="B215" s="35"/>
      <c r="C215" s="35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</row>
    <row r="216">
      <c r="A216" s="35"/>
      <c r="B216" s="35"/>
      <c r="C216" s="35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</row>
    <row r="217">
      <c r="A217" s="35"/>
      <c r="B217" s="35"/>
      <c r="C217" s="35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</row>
    <row r="218">
      <c r="A218" s="35"/>
      <c r="B218" s="35"/>
      <c r="C218" s="35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</row>
    <row r="219">
      <c r="A219" s="35"/>
      <c r="B219" s="35"/>
      <c r="C219" s="35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</row>
    <row r="220">
      <c r="A220" s="35"/>
      <c r="B220" s="35"/>
      <c r="C220" s="35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</row>
    <row r="221">
      <c r="A221" s="35"/>
      <c r="B221" s="35"/>
      <c r="C221" s="35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</row>
    <row r="222">
      <c r="A222" s="35"/>
      <c r="B222" s="35"/>
      <c r="C222" s="35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</row>
    <row r="223">
      <c r="A223" s="35"/>
      <c r="B223" s="35"/>
      <c r="C223" s="35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</row>
    <row r="224">
      <c r="A224" s="35"/>
      <c r="B224" s="35"/>
      <c r="C224" s="35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</row>
    <row r="225">
      <c r="A225" s="35"/>
      <c r="B225" s="35"/>
      <c r="C225" s="35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</row>
    <row r="226">
      <c r="A226" s="35"/>
      <c r="B226" s="35"/>
      <c r="C226" s="35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</row>
    <row r="227">
      <c r="A227" s="35"/>
      <c r="B227" s="35"/>
      <c r="C227" s="35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</row>
    <row r="228">
      <c r="A228" s="35"/>
      <c r="B228" s="35"/>
      <c r="C228" s="35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</row>
    <row r="229">
      <c r="A229" s="35"/>
      <c r="B229" s="35"/>
      <c r="C229" s="35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</row>
    <row r="230">
      <c r="A230" s="35"/>
      <c r="B230" s="35"/>
      <c r="C230" s="35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</row>
    <row r="231">
      <c r="A231" s="35"/>
      <c r="B231" s="35"/>
      <c r="C231" s="35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</row>
    <row r="232">
      <c r="A232" s="35"/>
      <c r="B232" s="35"/>
      <c r="C232" s="35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</row>
    <row r="233">
      <c r="A233" s="35"/>
      <c r="B233" s="35"/>
      <c r="C233" s="35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</row>
    <row r="234">
      <c r="A234" s="35"/>
      <c r="B234" s="35"/>
      <c r="C234" s="35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</row>
    <row r="235">
      <c r="A235" s="35"/>
      <c r="B235" s="35"/>
      <c r="C235" s="35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</row>
    <row r="236">
      <c r="A236" s="35"/>
      <c r="B236" s="35"/>
      <c r="C236" s="35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</row>
    <row r="237">
      <c r="A237" s="35"/>
      <c r="B237" s="35"/>
      <c r="C237" s="35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</row>
    <row r="238">
      <c r="A238" s="35"/>
      <c r="B238" s="35"/>
      <c r="C238" s="35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</row>
    <row r="239">
      <c r="A239" s="35"/>
      <c r="B239" s="35"/>
      <c r="C239" s="35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</row>
    <row r="240">
      <c r="A240" s="35"/>
      <c r="B240" s="35"/>
      <c r="C240" s="35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</row>
    <row r="241">
      <c r="A241" s="35"/>
      <c r="B241" s="35"/>
      <c r="C241" s="35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</row>
    <row r="242">
      <c r="A242" s="35"/>
      <c r="B242" s="35"/>
      <c r="C242" s="35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</row>
    <row r="243">
      <c r="A243" s="35"/>
      <c r="B243" s="35"/>
      <c r="C243" s="35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</row>
    <row r="244">
      <c r="A244" s="35"/>
      <c r="B244" s="35"/>
      <c r="C244" s="35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</row>
    <row r="245">
      <c r="A245" s="35"/>
      <c r="B245" s="35"/>
      <c r="C245" s="35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</row>
    <row r="246">
      <c r="A246" s="35"/>
      <c r="B246" s="35"/>
      <c r="C246" s="35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</row>
    <row r="247">
      <c r="A247" s="35"/>
      <c r="B247" s="35"/>
      <c r="C247" s="35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</row>
    <row r="248">
      <c r="A248" s="35"/>
      <c r="B248" s="35"/>
      <c r="C248" s="35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</row>
    <row r="249">
      <c r="A249" s="35"/>
      <c r="B249" s="35"/>
      <c r="C249" s="35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</row>
    <row r="250">
      <c r="A250" s="35"/>
      <c r="B250" s="35"/>
      <c r="C250" s="35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</row>
    <row r="251">
      <c r="A251" s="35"/>
      <c r="B251" s="35"/>
      <c r="C251" s="35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</row>
    <row r="252">
      <c r="A252" s="35"/>
      <c r="B252" s="35"/>
      <c r="C252" s="35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</row>
    <row r="253">
      <c r="A253" s="35"/>
      <c r="B253" s="35"/>
      <c r="C253" s="35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</row>
    <row r="254">
      <c r="A254" s="35"/>
      <c r="B254" s="35"/>
      <c r="C254" s="35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</row>
    <row r="255">
      <c r="A255" s="35"/>
      <c r="B255" s="35"/>
      <c r="C255" s="35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</row>
    <row r="256">
      <c r="A256" s="35"/>
      <c r="B256" s="35"/>
      <c r="C256" s="35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</row>
    <row r="257">
      <c r="A257" s="35"/>
      <c r="B257" s="35"/>
      <c r="C257" s="35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</row>
    <row r="258">
      <c r="A258" s="35"/>
      <c r="B258" s="35"/>
      <c r="C258" s="35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</row>
    <row r="259">
      <c r="A259" s="35"/>
      <c r="B259" s="35"/>
      <c r="C259" s="35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</row>
    <row r="260">
      <c r="A260" s="35"/>
      <c r="B260" s="35"/>
      <c r="C260" s="35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</row>
    <row r="261">
      <c r="A261" s="35"/>
      <c r="B261" s="35"/>
      <c r="C261" s="35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</row>
    <row r="262">
      <c r="A262" s="35"/>
      <c r="B262" s="35"/>
      <c r="C262" s="35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</row>
    <row r="263">
      <c r="A263" s="35"/>
      <c r="B263" s="35"/>
      <c r="C263" s="35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</row>
    <row r="264">
      <c r="A264" s="35"/>
      <c r="B264" s="35"/>
      <c r="C264" s="35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</row>
    <row r="265">
      <c r="A265" s="35"/>
      <c r="B265" s="35"/>
      <c r="C265" s="35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</row>
    <row r="266">
      <c r="A266" s="35"/>
      <c r="B266" s="35"/>
      <c r="C266" s="35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</row>
    <row r="267">
      <c r="A267" s="35"/>
      <c r="B267" s="35"/>
      <c r="C267" s="35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</row>
    <row r="268">
      <c r="A268" s="35"/>
      <c r="B268" s="35"/>
      <c r="C268" s="35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</row>
    <row r="269">
      <c r="A269" s="35"/>
      <c r="B269" s="35"/>
      <c r="C269" s="35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</row>
    <row r="270">
      <c r="A270" s="35"/>
      <c r="B270" s="35"/>
      <c r="C270" s="35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</row>
    <row r="271">
      <c r="A271" s="35"/>
      <c r="B271" s="35"/>
      <c r="C271" s="35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</row>
    <row r="272">
      <c r="A272" s="35"/>
      <c r="B272" s="35"/>
      <c r="C272" s="35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</row>
    <row r="273">
      <c r="A273" s="35"/>
      <c r="B273" s="35"/>
      <c r="C273" s="35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</row>
    <row r="274">
      <c r="A274" s="35"/>
      <c r="B274" s="35"/>
      <c r="C274" s="35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</row>
    <row r="275">
      <c r="A275" s="35"/>
      <c r="B275" s="35"/>
      <c r="C275" s="35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</row>
    <row r="276">
      <c r="A276" s="35"/>
      <c r="B276" s="35"/>
      <c r="C276" s="35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</row>
    <row r="277">
      <c r="A277" s="35"/>
      <c r="B277" s="35"/>
      <c r="C277" s="35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</row>
    <row r="278">
      <c r="A278" s="35"/>
      <c r="B278" s="35"/>
      <c r="C278" s="35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</row>
    <row r="279">
      <c r="A279" s="35"/>
      <c r="B279" s="35"/>
      <c r="C279" s="35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</row>
    <row r="280">
      <c r="A280" s="35"/>
      <c r="B280" s="35"/>
      <c r="C280" s="35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</row>
    <row r="281">
      <c r="A281" s="35"/>
      <c r="B281" s="35"/>
      <c r="C281" s="35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</row>
    <row r="282">
      <c r="A282" s="35"/>
      <c r="B282" s="35"/>
      <c r="C282" s="35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</row>
    <row r="283">
      <c r="A283" s="35"/>
      <c r="B283" s="35"/>
      <c r="C283" s="35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</row>
    <row r="284">
      <c r="A284" s="35"/>
      <c r="B284" s="35"/>
      <c r="C284" s="35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</row>
    <row r="285">
      <c r="A285" s="35"/>
      <c r="B285" s="35"/>
      <c r="C285" s="35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</row>
    <row r="286">
      <c r="A286" s="35"/>
      <c r="B286" s="35"/>
      <c r="C286" s="35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</row>
    <row r="287">
      <c r="A287" s="35"/>
      <c r="B287" s="35"/>
      <c r="C287" s="35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</row>
    <row r="288">
      <c r="A288" s="35"/>
      <c r="B288" s="35"/>
      <c r="C288" s="35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</row>
    <row r="289">
      <c r="A289" s="35"/>
      <c r="B289" s="35"/>
      <c r="C289" s="35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</row>
    <row r="290">
      <c r="A290" s="35"/>
      <c r="B290" s="35"/>
      <c r="C290" s="35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</row>
    <row r="291">
      <c r="A291" s="35"/>
      <c r="B291" s="35"/>
      <c r="C291" s="35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</row>
    <row r="292">
      <c r="A292" s="35"/>
      <c r="B292" s="35"/>
      <c r="C292" s="35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</row>
    <row r="293">
      <c r="A293" s="35"/>
      <c r="B293" s="35"/>
      <c r="C293" s="35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</row>
    <row r="294">
      <c r="A294" s="35"/>
      <c r="B294" s="35"/>
      <c r="C294" s="35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</row>
    <row r="295">
      <c r="A295" s="35"/>
      <c r="B295" s="35"/>
      <c r="C295" s="35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</row>
    <row r="296">
      <c r="A296" s="35"/>
      <c r="B296" s="35"/>
      <c r="C296" s="35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</row>
    <row r="297">
      <c r="A297" s="35"/>
      <c r="B297" s="35"/>
      <c r="C297" s="35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</row>
    <row r="298">
      <c r="A298" s="35"/>
      <c r="B298" s="35"/>
      <c r="C298" s="35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</row>
    <row r="299">
      <c r="A299" s="35"/>
      <c r="B299" s="35"/>
      <c r="C299" s="35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</row>
    <row r="300">
      <c r="A300" s="35"/>
      <c r="B300" s="35"/>
      <c r="C300" s="35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</row>
    <row r="301">
      <c r="A301" s="35"/>
      <c r="B301" s="35"/>
      <c r="C301" s="35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</row>
    <row r="302">
      <c r="A302" s="35"/>
      <c r="B302" s="35"/>
      <c r="C302" s="35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</row>
    <row r="303">
      <c r="A303" s="35"/>
      <c r="B303" s="35"/>
      <c r="C303" s="35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</row>
    <row r="304">
      <c r="A304" s="35"/>
      <c r="B304" s="35"/>
      <c r="C304" s="35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</row>
    <row r="305">
      <c r="A305" s="35"/>
      <c r="B305" s="35"/>
      <c r="C305" s="35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</row>
    <row r="306">
      <c r="A306" s="35"/>
      <c r="B306" s="35"/>
      <c r="C306" s="35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</row>
    <row r="307">
      <c r="A307" s="35"/>
      <c r="B307" s="35"/>
      <c r="C307" s="35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</row>
    <row r="308">
      <c r="A308" s="35"/>
      <c r="B308" s="35"/>
      <c r="C308" s="35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</row>
    <row r="309">
      <c r="A309" s="35"/>
      <c r="B309" s="35"/>
      <c r="C309" s="35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</row>
    <row r="310">
      <c r="A310" s="35"/>
      <c r="B310" s="35"/>
      <c r="C310" s="35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</row>
    <row r="311">
      <c r="A311" s="35"/>
      <c r="B311" s="35"/>
      <c r="C311" s="35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</row>
    <row r="312">
      <c r="A312" s="35"/>
      <c r="B312" s="35"/>
      <c r="C312" s="35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</row>
    <row r="313">
      <c r="A313" s="35"/>
      <c r="B313" s="35"/>
      <c r="C313" s="35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</row>
    <row r="314">
      <c r="A314" s="35"/>
      <c r="B314" s="35"/>
      <c r="C314" s="35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</row>
    <row r="315">
      <c r="A315" s="35"/>
      <c r="B315" s="35"/>
      <c r="C315" s="35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</row>
    <row r="316">
      <c r="A316" s="35"/>
      <c r="B316" s="35"/>
      <c r="C316" s="35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</row>
    <row r="317">
      <c r="A317" s="35"/>
      <c r="B317" s="35"/>
      <c r="C317" s="35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</row>
    <row r="318">
      <c r="A318" s="35"/>
      <c r="B318" s="35"/>
      <c r="C318" s="35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</row>
    <row r="319">
      <c r="A319" s="35"/>
      <c r="B319" s="35"/>
      <c r="C319" s="35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</row>
    <row r="320">
      <c r="A320" s="35"/>
      <c r="B320" s="35"/>
      <c r="C320" s="35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</row>
    <row r="321">
      <c r="A321" s="35"/>
      <c r="B321" s="35"/>
      <c r="C321" s="35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</row>
    <row r="322">
      <c r="A322" s="35"/>
      <c r="B322" s="35"/>
      <c r="C322" s="35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</row>
    <row r="323">
      <c r="A323" s="35"/>
      <c r="B323" s="35"/>
      <c r="C323" s="35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</row>
    <row r="324">
      <c r="A324" s="35"/>
      <c r="B324" s="35"/>
      <c r="C324" s="35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</row>
    <row r="325">
      <c r="A325" s="35"/>
      <c r="B325" s="35"/>
      <c r="C325" s="35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</row>
    <row r="326">
      <c r="A326" s="35"/>
      <c r="B326" s="35"/>
      <c r="C326" s="35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</row>
    <row r="327">
      <c r="A327" s="35"/>
      <c r="B327" s="35"/>
      <c r="C327" s="35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</row>
    <row r="328">
      <c r="A328" s="35"/>
      <c r="B328" s="35"/>
      <c r="C328" s="35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</row>
    <row r="329">
      <c r="A329" s="35"/>
      <c r="B329" s="35"/>
      <c r="C329" s="35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</row>
    <row r="330">
      <c r="A330" s="35"/>
      <c r="B330" s="35"/>
      <c r="C330" s="35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</row>
    <row r="331">
      <c r="A331" s="35"/>
      <c r="B331" s="35"/>
      <c r="C331" s="35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</row>
    <row r="332">
      <c r="A332" s="35"/>
      <c r="B332" s="35"/>
      <c r="C332" s="35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</row>
    <row r="333">
      <c r="A333" s="35"/>
      <c r="B333" s="35"/>
      <c r="C333" s="35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</row>
    <row r="334">
      <c r="A334" s="35"/>
      <c r="B334" s="35"/>
      <c r="C334" s="35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</row>
    <row r="335">
      <c r="A335" s="35"/>
      <c r="B335" s="35"/>
      <c r="C335" s="35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</row>
    <row r="336">
      <c r="A336" s="35"/>
      <c r="B336" s="35"/>
      <c r="C336" s="35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</row>
    <row r="337">
      <c r="A337" s="35"/>
      <c r="B337" s="35"/>
      <c r="C337" s="35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</row>
    <row r="338">
      <c r="A338" s="35"/>
      <c r="B338" s="35"/>
      <c r="C338" s="35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</row>
    <row r="339">
      <c r="A339" s="35"/>
      <c r="B339" s="35"/>
      <c r="C339" s="35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</row>
    <row r="340">
      <c r="A340" s="35"/>
      <c r="B340" s="35"/>
      <c r="C340" s="35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</row>
    <row r="341">
      <c r="A341" s="35"/>
      <c r="B341" s="35"/>
      <c r="C341" s="35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</row>
    <row r="342">
      <c r="A342" s="35"/>
      <c r="B342" s="35"/>
      <c r="C342" s="35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</row>
    <row r="343">
      <c r="A343" s="35"/>
      <c r="B343" s="35"/>
      <c r="C343" s="35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</row>
    <row r="344">
      <c r="A344" s="35"/>
      <c r="B344" s="35"/>
      <c r="C344" s="35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</row>
    <row r="345">
      <c r="A345" s="35"/>
      <c r="B345" s="35"/>
      <c r="C345" s="35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</row>
    <row r="346">
      <c r="A346" s="35"/>
      <c r="B346" s="35"/>
      <c r="C346" s="35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</row>
    <row r="347">
      <c r="A347" s="35"/>
      <c r="B347" s="35"/>
      <c r="C347" s="35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</row>
    <row r="348">
      <c r="A348" s="35"/>
      <c r="B348" s="35"/>
      <c r="C348" s="35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</row>
    <row r="349">
      <c r="A349" s="35"/>
      <c r="B349" s="35"/>
      <c r="C349" s="35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</row>
    <row r="350">
      <c r="A350" s="35"/>
      <c r="B350" s="35"/>
      <c r="C350" s="35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</row>
    <row r="351">
      <c r="A351" s="35"/>
      <c r="B351" s="35"/>
      <c r="C351" s="35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</row>
    <row r="352">
      <c r="A352" s="35"/>
      <c r="B352" s="35"/>
      <c r="C352" s="35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</row>
    <row r="353">
      <c r="A353" s="35"/>
      <c r="B353" s="35"/>
      <c r="C353" s="35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</row>
    <row r="354">
      <c r="A354" s="35"/>
      <c r="B354" s="35"/>
      <c r="C354" s="35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</row>
    <row r="355">
      <c r="A355" s="35"/>
      <c r="B355" s="35"/>
      <c r="C355" s="35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</row>
    <row r="356">
      <c r="A356" s="35"/>
      <c r="B356" s="35"/>
      <c r="C356" s="35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</row>
    <row r="357">
      <c r="A357" s="35"/>
      <c r="B357" s="35"/>
      <c r="C357" s="35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</row>
    <row r="358">
      <c r="A358" s="35"/>
      <c r="B358" s="35"/>
      <c r="C358" s="35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</row>
    <row r="359">
      <c r="A359" s="35"/>
      <c r="B359" s="35"/>
      <c r="C359" s="35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</row>
    <row r="360">
      <c r="A360" s="35"/>
      <c r="B360" s="35"/>
      <c r="C360" s="35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</row>
    <row r="361">
      <c r="A361" s="35"/>
      <c r="B361" s="35"/>
      <c r="C361" s="35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</row>
    <row r="362">
      <c r="A362" s="35"/>
      <c r="B362" s="35"/>
      <c r="C362" s="35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</row>
    <row r="363">
      <c r="A363" s="35"/>
      <c r="B363" s="35"/>
      <c r="C363" s="35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</row>
    <row r="364">
      <c r="A364" s="35"/>
      <c r="B364" s="35"/>
      <c r="C364" s="35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</row>
    <row r="365">
      <c r="A365" s="35"/>
      <c r="B365" s="35"/>
      <c r="C365" s="35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</row>
    <row r="366">
      <c r="A366" s="35"/>
      <c r="B366" s="35"/>
      <c r="C366" s="35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</row>
    <row r="367">
      <c r="A367" s="35"/>
      <c r="B367" s="35"/>
      <c r="C367" s="35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</row>
    <row r="368">
      <c r="A368" s="35"/>
      <c r="B368" s="35"/>
      <c r="C368" s="35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</row>
    <row r="369">
      <c r="A369" s="35"/>
      <c r="B369" s="35"/>
      <c r="C369" s="35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</row>
    <row r="370">
      <c r="A370" s="35"/>
      <c r="B370" s="35"/>
      <c r="C370" s="35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</row>
    <row r="371">
      <c r="A371" s="35"/>
      <c r="B371" s="35"/>
      <c r="C371" s="35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</row>
    <row r="372">
      <c r="A372" s="35"/>
      <c r="B372" s="35"/>
      <c r="C372" s="35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</row>
    <row r="373">
      <c r="A373" s="35"/>
      <c r="B373" s="35"/>
      <c r="C373" s="35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</row>
    <row r="374">
      <c r="A374" s="35"/>
      <c r="B374" s="35"/>
      <c r="C374" s="35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</row>
    <row r="375">
      <c r="A375" s="35"/>
      <c r="B375" s="35"/>
      <c r="C375" s="35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</row>
    <row r="376">
      <c r="A376" s="35"/>
      <c r="B376" s="35"/>
      <c r="C376" s="35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</row>
    <row r="377">
      <c r="A377" s="35"/>
      <c r="B377" s="35"/>
      <c r="C377" s="35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</row>
    <row r="378">
      <c r="A378" s="35"/>
      <c r="B378" s="35"/>
      <c r="C378" s="35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</row>
    <row r="379">
      <c r="A379" s="35"/>
      <c r="B379" s="35"/>
      <c r="C379" s="35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</row>
    <row r="380">
      <c r="A380" s="35"/>
      <c r="B380" s="35"/>
      <c r="C380" s="35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</row>
    <row r="381">
      <c r="A381" s="35"/>
      <c r="B381" s="35"/>
      <c r="C381" s="35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</row>
    <row r="382">
      <c r="A382" s="35"/>
      <c r="B382" s="35"/>
      <c r="C382" s="35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</row>
    <row r="383">
      <c r="A383" s="35"/>
      <c r="B383" s="35"/>
      <c r="C383" s="35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</row>
    <row r="384">
      <c r="A384" s="35"/>
      <c r="B384" s="35"/>
      <c r="C384" s="35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</row>
    <row r="385">
      <c r="A385" s="35"/>
      <c r="B385" s="35"/>
      <c r="C385" s="35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</row>
    <row r="386">
      <c r="A386" s="35"/>
      <c r="B386" s="35"/>
      <c r="C386" s="35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</row>
    <row r="387">
      <c r="A387" s="35"/>
      <c r="B387" s="35"/>
      <c r="C387" s="35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</row>
    <row r="388">
      <c r="A388" s="35"/>
      <c r="B388" s="35"/>
      <c r="C388" s="35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</row>
    <row r="389">
      <c r="A389" s="35"/>
      <c r="B389" s="35"/>
      <c r="C389" s="35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</row>
    <row r="390">
      <c r="A390" s="35"/>
      <c r="B390" s="35"/>
      <c r="C390" s="35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</row>
    <row r="391">
      <c r="A391" s="35"/>
      <c r="B391" s="35"/>
      <c r="C391" s="35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</row>
    <row r="392">
      <c r="A392" s="35"/>
      <c r="B392" s="35"/>
      <c r="C392" s="35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</row>
    <row r="393">
      <c r="A393" s="35"/>
      <c r="B393" s="35"/>
      <c r="C393" s="35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</row>
    <row r="394">
      <c r="A394" s="35"/>
      <c r="B394" s="35"/>
      <c r="C394" s="35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</row>
    <row r="395">
      <c r="A395" s="35"/>
      <c r="B395" s="35"/>
      <c r="C395" s="35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</row>
    <row r="396">
      <c r="A396" s="35"/>
      <c r="B396" s="35"/>
      <c r="C396" s="35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</row>
    <row r="397">
      <c r="A397" s="35"/>
      <c r="B397" s="35"/>
      <c r="C397" s="35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</row>
    <row r="398">
      <c r="A398" s="35"/>
      <c r="B398" s="35"/>
      <c r="C398" s="35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</row>
    <row r="399">
      <c r="A399" s="35"/>
      <c r="B399" s="35"/>
      <c r="C399" s="35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</row>
    <row r="400">
      <c r="A400" s="35"/>
      <c r="B400" s="35"/>
      <c r="C400" s="35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</row>
    <row r="401">
      <c r="A401" s="35"/>
      <c r="B401" s="35"/>
      <c r="C401" s="35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</row>
    <row r="402">
      <c r="A402" s="35"/>
      <c r="B402" s="35"/>
      <c r="C402" s="35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</row>
    <row r="403">
      <c r="A403" s="35"/>
      <c r="B403" s="35"/>
      <c r="C403" s="35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</row>
    <row r="404">
      <c r="A404" s="35"/>
      <c r="B404" s="35"/>
      <c r="C404" s="35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</row>
    <row r="405">
      <c r="A405" s="35"/>
      <c r="B405" s="35"/>
      <c r="C405" s="35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</row>
    <row r="406">
      <c r="A406" s="35"/>
      <c r="B406" s="35"/>
      <c r="C406" s="35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</row>
    <row r="407">
      <c r="A407" s="35"/>
      <c r="B407" s="35"/>
      <c r="C407" s="35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</row>
    <row r="408">
      <c r="A408" s="35"/>
      <c r="B408" s="35"/>
      <c r="C408" s="35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</row>
    <row r="409">
      <c r="A409" s="35"/>
      <c r="B409" s="35"/>
      <c r="C409" s="35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</row>
    <row r="410">
      <c r="A410" s="35"/>
      <c r="B410" s="35"/>
      <c r="C410" s="35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</row>
    <row r="411">
      <c r="A411" s="35"/>
      <c r="B411" s="35"/>
      <c r="C411" s="35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</row>
    <row r="412">
      <c r="A412" s="35"/>
      <c r="B412" s="35"/>
      <c r="C412" s="35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</row>
    <row r="413">
      <c r="A413" s="35"/>
      <c r="B413" s="35"/>
      <c r="C413" s="35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</row>
    <row r="414">
      <c r="A414" s="35"/>
      <c r="B414" s="35"/>
      <c r="C414" s="35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</row>
    <row r="415">
      <c r="A415" s="35"/>
      <c r="B415" s="35"/>
      <c r="C415" s="35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</row>
    <row r="416">
      <c r="A416" s="35"/>
      <c r="B416" s="35"/>
      <c r="C416" s="35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</row>
    <row r="417">
      <c r="A417" s="35"/>
      <c r="B417" s="35"/>
      <c r="C417" s="35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</row>
    <row r="418">
      <c r="A418" s="35"/>
      <c r="B418" s="35"/>
      <c r="C418" s="35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</row>
    <row r="419">
      <c r="A419" s="35"/>
      <c r="B419" s="35"/>
      <c r="C419" s="35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</row>
    <row r="420">
      <c r="A420" s="35"/>
      <c r="B420" s="35"/>
      <c r="C420" s="35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</row>
    <row r="421">
      <c r="A421" s="35"/>
      <c r="B421" s="35"/>
      <c r="C421" s="35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</row>
    <row r="422">
      <c r="A422" s="35"/>
      <c r="B422" s="35"/>
      <c r="C422" s="35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</row>
    <row r="423">
      <c r="A423" s="35"/>
      <c r="B423" s="35"/>
      <c r="C423" s="35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</row>
    <row r="424">
      <c r="A424" s="35"/>
      <c r="B424" s="35"/>
      <c r="C424" s="35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</row>
    <row r="425">
      <c r="A425" s="35"/>
      <c r="B425" s="35"/>
      <c r="C425" s="35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</row>
    <row r="426">
      <c r="A426" s="35"/>
      <c r="B426" s="35"/>
      <c r="C426" s="35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</row>
    <row r="427">
      <c r="A427" s="35"/>
      <c r="B427" s="35"/>
      <c r="C427" s="35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</row>
    <row r="428">
      <c r="A428" s="35"/>
      <c r="B428" s="35"/>
      <c r="C428" s="35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</row>
    <row r="429">
      <c r="A429" s="35"/>
      <c r="B429" s="35"/>
      <c r="C429" s="35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</row>
    <row r="430">
      <c r="A430" s="35"/>
      <c r="B430" s="35"/>
      <c r="C430" s="35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</row>
    <row r="431">
      <c r="A431" s="35"/>
      <c r="B431" s="35"/>
      <c r="C431" s="35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</row>
    <row r="432">
      <c r="A432" s="35"/>
      <c r="B432" s="35"/>
      <c r="C432" s="35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</row>
    <row r="433">
      <c r="A433" s="35"/>
      <c r="B433" s="35"/>
      <c r="C433" s="35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</row>
    <row r="434">
      <c r="A434" s="35"/>
      <c r="B434" s="35"/>
      <c r="C434" s="35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</row>
    <row r="435">
      <c r="A435" s="35"/>
      <c r="B435" s="35"/>
      <c r="C435" s="35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</row>
    <row r="436">
      <c r="A436" s="35"/>
      <c r="B436" s="35"/>
      <c r="C436" s="35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</row>
    <row r="437">
      <c r="A437" s="35"/>
      <c r="B437" s="35"/>
      <c r="C437" s="35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</row>
    <row r="438">
      <c r="A438" s="35"/>
      <c r="B438" s="35"/>
      <c r="C438" s="35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</row>
    <row r="439">
      <c r="A439" s="35"/>
      <c r="B439" s="35"/>
      <c r="C439" s="35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</row>
    <row r="440">
      <c r="A440" s="35"/>
      <c r="B440" s="35"/>
      <c r="C440" s="35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</row>
    <row r="441">
      <c r="A441" s="35"/>
      <c r="B441" s="35"/>
      <c r="C441" s="35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</row>
    <row r="442">
      <c r="A442" s="35"/>
      <c r="B442" s="35"/>
      <c r="C442" s="35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</row>
    <row r="443">
      <c r="A443" s="35"/>
      <c r="B443" s="35"/>
      <c r="C443" s="35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</row>
    <row r="444">
      <c r="A444" s="35"/>
      <c r="B444" s="35"/>
      <c r="C444" s="35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</row>
    <row r="445">
      <c r="A445" s="35"/>
      <c r="B445" s="35"/>
      <c r="C445" s="35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</row>
    <row r="446">
      <c r="A446" s="35"/>
      <c r="B446" s="35"/>
      <c r="C446" s="35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</row>
    <row r="447">
      <c r="A447" s="35"/>
      <c r="B447" s="35"/>
      <c r="C447" s="35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</row>
    <row r="448">
      <c r="A448" s="35"/>
      <c r="B448" s="35"/>
      <c r="C448" s="35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</row>
    <row r="449">
      <c r="A449" s="35"/>
      <c r="B449" s="35"/>
      <c r="C449" s="35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</row>
    <row r="450">
      <c r="A450" s="35"/>
      <c r="B450" s="35"/>
      <c r="C450" s="35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</row>
    <row r="451">
      <c r="A451" s="35"/>
      <c r="B451" s="35"/>
      <c r="C451" s="35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</row>
    <row r="452">
      <c r="A452" s="35"/>
      <c r="B452" s="35"/>
      <c r="C452" s="35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</row>
    <row r="453">
      <c r="A453" s="35"/>
      <c r="B453" s="35"/>
      <c r="C453" s="35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</row>
    <row r="454">
      <c r="A454" s="35"/>
      <c r="B454" s="35"/>
      <c r="C454" s="35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</row>
    <row r="455">
      <c r="A455" s="35"/>
      <c r="B455" s="35"/>
      <c r="C455" s="35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</row>
    <row r="456">
      <c r="A456" s="35"/>
      <c r="B456" s="35"/>
      <c r="C456" s="35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</row>
    <row r="457">
      <c r="A457" s="35"/>
      <c r="B457" s="35"/>
      <c r="C457" s="35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</row>
    <row r="458">
      <c r="A458" s="35"/>
      <c r="B458" s="35"/>
      <c r="C458" s="35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</row>
    <row r="459">
      <c r="A459" s="35"/>
      <c r="B459" s="35"/>
      <c r="C459" s="35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</row>
    <row r="460">
      <c r="A460" s="35"/>
      <c r="B460" s="35"/>
      <c r="C460" s="35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</row>
    <row r="461">
      <c r="A461" s="35"/>
      <c r="B461" s="35"/>
      <c r="C461" s="35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</row>
    <row r="462">
      <c r="A462" s="35"/>
      <c r="B462" s="35"/>
      <c r="C462" s="35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</row>
    <row r="463">
      <c r="A463" s="35"/>
      <c r="B463" s="35"/>
      <c r="C463" s="35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</row>
    <row r="464">
      <c r="A464" s="35"/>
      <c r="B464" s="35"/>
      <c r="C464" s="35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</row>
    <row r="465">
      <c r="A465" s="35"/>
      <c r="B465" s="35"/>
      <c r="C465" s="35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</row>
    <row r="466">
      <c r="A466" s="35"/>
      <c r="B466" s="35"/>
      <c r="C466" s="35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</row>
    <row r="467">
      <c r="A467" s="35"/>
      <c r="B467" s="35"/>
      <c r="C467" s="35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</row>
    <row r="468">
      <c r="A468" s="35"/>
      <c r="B468" s="35"/>
      <c r="C468" s="35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</row>
    <row r="469">
      <c r="A469" s="35"/>
      <c r="B469" s="35"/>
      <c r="C469" s="35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</row>
    <row r="470">
      <c r="A470" s="35"/>
      <c r="B470" s="35"/>
      <c r="C470" s="35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</row>
    <row r="471">
      <c r="A471" s="35"/>
      <c r="B471" s="35"/>
      <c r="C471" s="35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</row>
    <row r="472">
      <c r="A472" s="35"/>
      <c r="B472" s="35"/>
      <c r="C472" s="35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</row>
    <row r="473">
      <c r="A473" s="35"/>
      <c r="B473" s="35"/>
      <c r="C473" s="35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</row>
    <row r="474">
      <c r="A474" s="35"/>
      <c r="B474" s="35"/>
      <c r="C474" s="35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</row>
    <row r="475">
      <c r="A475" s="35"/>
      <c r="B475" s="35"/>
      <c r="C475" s="35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</row>
    <row r="476">
      <c r="A476" s="35"/>
      <c r="B476" s="35"/>
      <c r="C476" s="35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</row>
    <row r="477">
      <c r="A477" s="35"/>
      <c r="B477" s="35"/>
      <c r="C477" s="35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</row>
    <row r="478">
      <c r="A478" s="35"/>
      <c r="B478" s="35"/>
      <c r="C478" s="35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</row>
    <row r="479">
      <c r="A479" s="35"/>
      <c r="B479" s="35"/>
      <c r="C479" s="35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</row>
    <row r="480">
      <c r="A480" s="35"/>
      <c r="B480" s="35"/>
      <c r="C480" s="35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</row>
    <row r="481">
      <c r="A481" s="35"/>
      <c r="B481" s="35"/>
      <c r="C481" s="35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</row>
    <row r="482">
      <c r="A482" s="35"/>
      <c r="B482" s="35"/>
      <c r="C482" s="35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</row>
    <row r="483">
      <c r="A483" s="35"/>
      <c r="B483" s="35"/>
      <c r="C483" s="35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</row>
    <row r="484">
      <c r="A484" s="35"/>
      <c r="B484" s="35"/>
      <c r="C484" s="35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</row>
    <row r="485">
      <c r="A485" s="35"/>
      <c r="B485" s="35"/>
      <c r="C485" s="35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</row>
    <row r="486">
      <c r="A486" s="35"/>
      <c r="B486" s="35"/>
      <c r="C486" s="35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</row>
    <row r="487">
      <c r="A487" s="35"/>
      <c r="B487" s="35"/>
      <c r="C487" s="35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</row>
    <row r="488">
      <c r="A488" s="35"/>
      <c r="B488" s="35"/>
      <c r="C488" s="35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</row>
    <row r="489">
      <c r="A489" s="35"/>
      <c r="B489" s="35"/>
      <c r="C489" s="35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</row>
    <row r="490">
      <c r="A490" s="35"/>
      <c r="B490" s="35"/>
      <c r="C490" s="35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</row>
    <row r="491">
      <c r="A491" s="35"/>
      <c r="B491" s="35"/>
      <c r="C491" s="35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</row>
    <row r="492">
      <c r="A492" s="35"/>
      <c r="B492" s="35"/>
      <c r="C492" s="35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</row>
    <row r="493">
      <c r="A493" s="35"/>
      <c r="B493" s="35"/>
      <c r="C493" s="35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</row>
    <row r="494">
      <c r="A494" s="35"/>
      <c r="B494" s="35"/>
      <c r="C494" s="35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</row>
    <row r="495">
      <c r="A495" s="35"/>
      <c r="B495" s="35"/>
      <c r="C495" s="35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</row>
    <row r="496">
      <c r="A496" s="35"/>
      <c r="B496" s="35"/>
      <c r="C496" s="35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</row>
    <row r="497">
      <c r="A497" s="35"/>
      <c r="B497" s="35"/>
      <c r="C497" s="35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</row>
    <row r="498">
      <c r="A498" s="35"/>
      <c r="B498" s="35"/>
      <c r="C498" s="35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</row>
    <row r="499">
      <c r="A499" s="35"/>
      <c r="B499" s="35"/>
      <c r="C499" s="35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</row>
    <row r="500">
      <c r="A500" s="35"/>
      <c r="B500" s="35"/>
      <c r="C500" s="35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</row>
    <row r="501">
      <c r="A501" s="35"/>
      <c r="B501" s="35"/>
      <c r="C501" s="35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</row>
    <row r="502">
      <c r="A502" s="35"/>
      <c r="B502" s="35"/>
      <c r="C502" s="35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</row>
    <row r="503">
      <c r="A503" s="35"/>
      <c r="B503" s="35"/>
      <c r="C503" s="35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</row>
    <row r="504">
      <c r="A504" s="35"/>
      <c r="B504" s="35"/>
      <c r="C504" s="35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</row>
    <row r="505">
      <c r="A505" s="35"/>
      <c r="B505" s="35"/>
      <c r="C505" s="35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</row>
    <row r="506">
      <c r="A506" s="35"/>
      <c r="B506" s="35"/>
      <c r="C506" s="35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</row>
    <row r="507">
      <c r="A507" s="35"/>
      <c r="B507" s="35"/>
      <c r="C507" s="35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</row>
    <row r="508">
      <c r="A508" s="35"/>
      <c r="B508" s="35"/>
      <c r="C508" s="35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</row>
    <row r="509">
      <c r="A509" s="35"/>
      <c r="B509" s="35"/>
      <c r="C509" s="35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</row>
    <row r="510">
      <c r="A510" s="35"/>
      <c r="B510" s="35"/>
      <c r="C510" s="35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</row>
    <row r="511">
      <c r="A511" s="35"/>
      <c r="B511" s="35"/>
      <c r="C511" s="35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</row>
    <row r="512">
      <c r="A512" s="35"/>
      <c r="B512" s="35"/>
      <c r="C512" s="35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</row>
    <row r="513">
      <c r="A513" s="35"/>
      <c r="B513" s="35"/>
      <c r="C513" s="35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</row>
    <row r="514">
      <c r="A514" s="35"/>
      <c r="B514" s="35"/>
      <c r="C514" s="35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</row>
    <row r="515">
      <c r="A515" s="35"/>
      <c r="B515" s="35"/>
      <c r="C515" s="35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</row>
    <row r="516">
      <c r="A516" s="35"/>
      <c r="B516" s="35"/>
      <c r="C516" s="35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</row>
    <row r="517">
      <c r="A517" s="35"/>
      <c r="B517" s="35"/>
      <c r="C517" s="35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</row>
    <row r="518">
      <c r="A518" s="35"/>
      <c r="B518" s="35"/>
      <c r="C518" s="35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</row>
    <row r="519">
      <c r="A519" s="35"/>
      <c r="B519" s="35"/>
      <c r="C519" s="35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</row>
    <row r="520">
      <c r="A520" s="35"/>
      <c r="B520" s="35"/>
      <c r="C520" s="35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</row>
    <row r="521">
      <c r="A521" s="35"/>
      <c r="B521" s="35"/>
      <c r="C521" s="35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</row>
    <row r="522">
      <c r="A522" s="35"/>
      <c r="B522" s="35"/>
      <c r="C522" s="35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</row>
    <row r="523">
      <c r="A523" s="35"/>
      <c r="B523" s="35"/>
      <c r="C523" s="35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</row>
    <row r="524">
      <c r="A524" s="35"/>
      <c r="B524" s="35"/>
      <c r="C524" s="35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</row>
    <row r="525">
      <c r="A525" s="35"/>
      <c r="B525" s="35"/>
      <c r="C525" s="35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</row>
    <row r="526">
      <c r="A526" s="35"/>
      <c r="B526" s="35"/>
      <c r="C526" s="35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</row>
    <row r="527">
      <c r="A527" s="35"/>
      <c r="B527" s="35"/>
      <c r="C527" s="35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</row>
    <row r="528">
      <c r="A528" s="35"/>
      <c r="B528" s="35"/>
      <c r="C528" s="35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</row>
    <row r="529">
      <c r="A529" s="35"/>
      <c r="B529" s="35"/>
      <c r="C529" s="35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</row>
    <row r="530">
      <c r="A530" s="35"/>
      <c r="B530" s="35"/>
      <c r="C530" s="35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</row>
    <row r="531">
      <c r="A531" s="35"/>
      <c r="B531" s="35"/>
      <c r="C531" s="35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</row>
    <row r="532">
      <c r="A532" s="35"/>
      <c r="B532" s="35"/>
      <c r="C532" s="35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</row>
    <row r="533">
      <c r="A533" s="35"/>
      <c r="B533" s="35"/>
      <c r="C533" s="35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</row>
    <row r="534">
      <c r="A534" s="35"/>
      <c r="B534" s="35"/>
      <c r="C534" s="35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</row>
    <row r="535">
      <c r="A535" s="35"/>
      <c r="B535" s="35"/>
      <c r="C535" s="35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</row>
    <row r="536">
      <c r="A536" s="35"/>
      <c r="B536" s="35"/>
      <c r="C536" s="35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</row>
    <row r="537">
      <c r="A537" s="35"/>
      <c r="B537" s="35"/>
      <c r="C537" s="35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</row>
    <row r="538">
      <c r="A538" s="35"/>
      <c r="B538" s="35"/>
      <c r="C538" s="35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</row>
    <row r="539">
      <c r="A539" s="35"/>
      <c r="B539" s="35"/>
      <c r="C539" s="35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</row>
    <row r="540">
      <c r="A540" s="35"/>
      <c r="B540" s="35"/>
      <c r="C540" s="35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</row>
    <row r="541">
      <c r="A541" s="35"/>
      <c r="B541" s="35"/>
      <c r="C541" s="35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</row>
    <row r="542">
      <c r="A542" s="35"/>
      <c r="B542" s="35"/>
      <c r="C542" s="35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</row>
    <row r="543">
      <c r="A543" s="35"/>
      <c r="B543" s="35"/>
      <c r="C543" s="35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</row>
    <row r="544">
      <c r="A544" s="35"/>
      <c r="B544" s="35"/>
      <c r="C544" s="35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</row>
    <row r="545">
      <c r="A545" s="35"/>
      <c r="B545" s="35"/>
      <c r="C545" s="35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</row>
    <row r="546">
      <c r="A546" s="35"/>
      <c r="B546" s="35"/>
      <c r="C546" s="35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</row>
    <row r="547">
      <c r="A547" s="35"/>
      <c r="B547" s="35"/>
      <c r="C547" s="35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</row>
    <row r="548">
      <c r="A548" s="35"/>
      <c r="B548" s="35"/>
      <c r="C548" s="35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</row>
    <row r="549">
      <c r="A549" s="35"/>
      <c r="B549" s="35"/>
      <c r="C549" s="35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</row>
    <row r="550">
      <c r="A550" s="35"/>
      <c r="B550" s="35"/>
      <c r="C550" s="35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</row>
    <row r="551">
      <c r="A551" s="35"/>
      <c r="B551" s="35"/>
      <c r="C551" s="35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</row>
    <row r="552">
      <c r="A552" s="35"/>
      <c r="B552" s="35"/>
      <c r="C552" s="35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</row>
    <row r="553">
      <c r="A553" s="35"/>
      <c r="B553" s="35"/>
      <c r="C553" s="35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</row>
    <row r="554">
      <c r="A554" s="35"/>
      <c r="B554" s="35"/>
      <c r="C554" s="35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</row>
    <row r="555">
      <c r="A555" s="35"/>
      <c r="B555" s="35"/>
      <c r="C555" s="35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</row>
    <row r="556">
      <c r="A556" s="35"/>
      <c r="B556" s="35"/>
      <c r="C556" s="35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</row>
    <row r="557">
      <c r="A557" s="35"/>
      <c r="B557" s="35"/>
      <c r="C557" s="35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</row>
    <row r="558">
      <c r="A558" s="35"/>
      <c r="B558" s="35"/>
      <c r="C558" s="35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</row>
    <row r="559">
      <c r="A559" s="35"/>
      <c r="B559" s="35"/>
      <c r="C559" s="35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</row>
    <row r="560">
      <c r="A560" s="35"/>
      <c r="B560" s="35"/>
      <c r="C560" s="35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</row>
    <row r="561">
      <c r="A561" s="35"/>
      <c r="B561" s="35"/>
      <c r="C561" s="35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</row>
    <row r="562">
      <c r="A562" s="35"/>
      <c r="B562" s="35"/>
      <c r="C562" s="35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</row>
    <row r="563">
      <c r="A563" s="35"/>
      <c r="B563" s="35"/>
      <c r="C563" s="35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</row>
    <row r="564">
      <c r="A564" s="35"/>
      <c r="B564" s="35"/>
      <c r="C564" s="35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</row>
    <row r="565">
      <c r="A565" s="35"/>
      <c r="B565" s="35"/>
      <c r="C565" s="35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</row>
    <row r="566">
      <c r="A566" s="35"/>
      <c r="B566" s="35"/>
      <c r="C566" s="35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</row>
    <row r="567">
      <c r="A567" s="35"/>
      <c r="B567" s="35"/>
      <c r="C567" s="35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</row>
    <row r="568">
      <c r="A568" s="35"/>
      <c r="B568" s="35"/>
      <c r="C568" s="35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</row>
    <row r="569">
      <c r="A569" s="35"/>
      <c r="B569" s="35"/>
      <c r="C569" s="35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</row>
    <row r="570">
      <c r="A570" s="35"/>
      <c r="B570" s="35"/>
      <c r="C570" s="35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</row>
    <row r="571">
      <c r="A571" s="35"/>
      <c r="B571" s="35"/>
      <c r="C571" s="35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</row>
    <row r="572">
      <c r="A572" s="35"/>
      <c r="B572" s="35"/>
      <c r="C572" s="35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</row>
    <row r="573">
      <c r="A573" s="35"/>
      <c r="B573" s="35"/>
      <c r="C573" s="35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</row>
    <row r="574">
      <c r="A574" s="35"/>
      <c r="B574" s="35"/>
      <c r="C574" s="35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</row>
    <row r="575">
      <c r="A575" s="35"/>
      <c r="B575" s="35"/>
      <c r="C575" s="35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</row>
    <row r="576">
      <c r="A576" s="35"/>
      <c r="B576" s="35"/>
      <c r="C576" s="35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</row>
    <row r="577">
      <c r="A577" s="35"/>
      <c r="B577" s="35"/>
      <c r="C577" s="35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</row>
    <row r="578">
      <c r="A578" s="35"/>
      <c r="B578" s="35"/>
      <c r="C578" s="35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</row>
    <row r="579">
      <c r="A579" s="35"/>
      <c r="B579" s="35"/>
      <c r="C579" s="35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</row>
    <row r="580">
      <c r="A580" s="35"/>
      <c r="B580" s="35"/>
      <c r="C580" s="35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</row>
    <row r="581">
      <c r="A581" s="35"/>
      <c r="B581" s="35"/>
      <c r="C581" s="35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</row>
    <row r="582">
      <c r="A582" s="35"/>
      <c r="B582" s="35"/>
      <c r="C582" s="35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</row>
    <row r="583">
      <c r="A583" s="35"/>
      <c r="B583" s="35"/>
      <c r="C583" s="35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</row>
    <row r="584">
      <c r="A584" s="35"/>
      <c r="B584" s="35"/>
      <c r="C584" s="35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</row>
    <row r="585">
      <c r="A585" s="35"/>
      <c r="B585" s="35"/>
      <c r="C585" s="35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</row>
    <row r="586">
      <c r="A586" s="35"/>
      <c r="B586" s="35"/>
      <c r="C586" s="35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</row>
    <row r="587">
      <c r="A587" s="35"/>
      <c r="B587" s="35"/>
      <c r="C587" s="35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</row>
    <row r="588">
      <c r="A588" s="35"/>
      <c r="B588" s="35"/>
      <c r="C588" s="35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</row>
    <row r="589">
      <c r="A589" s="35"/>
      <c r="B589" s="35"/>
      <c r="C589" s="35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</row>
    <row r="590">
      <c r="A590" s="35"/>
      <c r="B590" s="35"/>
      <c r="C590" s="35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</row>
    <row r="591">
      <c r="A591" s="35"/>
      <c r="B591" s="35"/>
      <c r="C591" s="35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</row>
    <row r="592">
      <c r="A592" s="35"/>
      <c r="B592" s="35"/>
      <c r="C592" s="35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</row>
    <row r="593">
      <c r="A593" s="35"/>
      <c r="B593" s="35"/>
      <c r="C593" s="35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</row>
    <row r="594">
      <c r="A594" s="35"/>
      <c r="B594" s="35"/>
      <c r="C594" s="35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</row>
    <row r="595">
      <c r="A595" s="35"/>
      <c r="B595" s="35"/>
      <c r="C595" s="35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</row>
    <row r="596">
      <c r="A596" s="35"/>
      <c r="B596" s="35"/>
      <c r="C596" s="35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</row>
    <row r="597">
      <c r="A597" s="35"/>
      <c r="B597" s="35"/>
      <c r="C597" s="35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</row>
    <row r="598">
      <c r="A598" s="35"/>
      <c r="B598" s="35"/>
      <c r="C598" s="35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</row>
    <row r="599">
      <c r="A599" s="35"/>
      <c r="B599" s="35"/>
      <c r="C599" s="35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</row>
    <row r="600">
      <c r="A600" s="35"/>
      <c r="B600" s="35"/>
      <c r="C600" s="35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</row>
    <row r="601">
      <c r="A601" s="35"/>
      <c r="B601" s="35"/>
      <c r="C601" s="35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</row>
    <row r="602">
      <c r="A602" s="35"/>
      <c r="B602" s="35"/>
      <c r="C602" s="35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</row>
    <row r="603">
      <c r="A603" s="35"/>
      <c r="B603" s="35"/>
      <c r="C603" s="35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</row>
    <row r="604">
      <c r="A604" s="35"/>
      <c r="B604" s="35"/>
      <c r="C604" s="35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</row>
    <row r="605">
      <c r="A605" s="35"/>
      <c r="B605" s="35"/>
      <c r="C605" s="35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</row>
    <row r="606">
      <c r="A606" s="35"/>
      <c r="B606" s="35"/>
      <c r="C606" s="35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</row>
    <row r="607">
      <c r="A607" s="35"/>
      <c r="B607" s="35"/>
      <c r="C607" s="35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</row>
    <row r="608">
      <c r="A608" s="35"/>
      <c r="B608" s="35"/>
      <c r="C608" s="35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</row>
    <row r="609">
      <c r="A609" s="35"/>
      <c r="B609" s="35"/>
      <c r="C609" s="35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</row>
    <row r="610">
      <c r="A610" s="35"/>
      <c r="B610" s="35"/>
      <c r="C610" s="35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</row>
    <row r="611">
      <c r="A611" s="35"/>
      <c r="B611" s="35"/>
      <c r="C611" s="35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</row>
    <row r="612">
      <c r="A612" s="35"/>
      <c r="B612" s="35"/>
      <c r="C612" s="35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</row>
    <row r="613">
      <c r="A613" s="35"/>
      <c r="B613" s="35"/>
      <c r="C613" s="35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</row>
    <row r="614">
      <c r="A614" s="35"/>
      <c r="B614" s="35"/>
      <c r="C614" s="35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</row>
    <row r="615">
      <c r="A615" s="35"/>
      <c r="B615" s="35"/>
      <c r="C615" s="35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</row>
    <row r="616">
      <c r="A616" s="35"/>
      <c r="B616" s="35"/>
      <c r="C616" s="35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</row>
    <row r="617">
      <c r="A617" s="35"/>
      <c r="B617" s="35"/>
      <c r="C617" s="35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</row>
    <row r="618">
      <c r="A618" s="35"/>
      <c r="B618" s="35"/>
      <c r="C618" s="35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</row>
    <row r="619">
      <c r="A619" s="35"/>
      <c r="B619" s="35"/>
      <c r="C619" s="35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</row>
    <row r="620">
      <c r="A620" s="35"/>
      <c r="B620" s="35"/>
      <c r="C620" s="35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</row>
    <row r="621">
      <c r="A621" s="35"/>
      <c r="B621" s="35"/>
      <c r="C621" s="35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</row>
    <row r="622">
      <c r="A622" s="35"/>
      <c r="B622" s="35"/>
      <c r="C622" s="35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</row>
    <row r="623">
      <c r="A623" s="35"/>
      <c r="B623" s="35"/>
      <c r="C623" s="35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</row>
    <row r="624">
      <c r="A624" s="35"/>
      <c r="B624" s="35"/>
      <c r="C624" s="35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</row>
    <row r="625">
      <c r="A625" s="35"/>
      <c r="B625" s="35"/>
      <c r="C625" s="35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</row>
    <row r="626">
      <c r="A626" s="35"/>
      <c r="B626" s="35"/>
      <c r="C626" s="35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</row>
    <row r="627">
      <c r="A627" s="35"/>
      <c r="B627" s="35"/>
      <c r="C627" s="35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</row>
    <row r="628">
      <c r="A628" s="35"/>
      <c r="B628" s="35"/>
      <c r="C628" s="35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</row>
    <row r="629">
      <c r="A629" s="35"/>
      <c r="B629" s="35"/>
      <c r="C629" s="35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</row>
    <row r="630">
      <c r="A630" s="35"/>
      <c r="B630" s="35"/>
      <c r="C630" s="35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</row>
    <row r="631">
      <c r="A631" s="35"/>
      <c r="B631" s="35"/>
      <c r="C631" s="35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</row>
    <row r="632">
      <c r="A632" s="35"/>
      <c r="B632" s="35"/>
      <c r="C632" s="35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</row>
    <row r="633">
      <c r="A633" s="35"/>
      <c r="B633" s="35"/>
      <c r="C633" s="35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</row>
    <row r="634">
      <c r="A634" s="35"/>
      <c r="B634" s="35"/>
      <c r="C634" s="35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</row>
    <row r="635">
      <c r="A635" s="35"/>
      <c r="B635" s="35"/>
      <c r="C635" s="35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</row>
    <row r="636">
      <c r="A636" s="35"/>
      <c r="B636" s="35"/>
      <c r="C636" s="35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</row>
    <row r="637">
      <c r="A637" s="35"/>
      <c r="B637" s="35"/>
      <c r="C637" s="35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</row>
    <row r="638">
      <c r="A638" s="35"/>
      <c r="B638" s="35"/>
      <c r="C638" s="35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</row>
    <row r="639">
      <c r="A639" s="35"/>
      <c r="B639" s="35"/>
      <c r="C639" s="35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</row>
    <row r="640">
      <c r="A640" s="35"/>
      <c r="B640" s="35"/>
      <c r="C640" s="35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</row>
    <row r="641">
      <c r="A641" s="35"/>
      <c r="B641" s="35"/>
      <c r="C641" s="35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</row>
    <row r="642">
      <c r="A642" s="35"/>
      <c r="B642" s="35"/>
      <c r="C642" s="35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</row>
    <row r="643">
      <c r="A643" s="35"/>
      <c r="B643" s="35"/>
      <c r="C643" s="35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</row>
    <row r="644">
      <c r="A644" s="35"/>
      <c r="B644" s="35"/>
      <c r="C644" s="35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</row>
    <row r="645">
      <c r="A645" s="35"/>
      <c r="B645" s="35"/>
      <c r="C645" s="35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</row>
    <row r="646">
      <c r="A646" s="35"/>
      <c r="B646" s="35"/>
      <c r="C646" s="35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</row>
    <row r="647">
      <c r="A647" s="35"/>
      <c r="B647" s="35"/>
      <c r="C647" s="35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</row>
    <row r="648">
      <c r="A648" s="35"/>
      <c r="B648" s="35"/>
      <c r="C648" s="35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</row>
    <row r="649">
      <c r="A649" s="35"/>
      <c r="B649" s="35"/>
      <c r="C649" s="35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</row>
    <row r="650">
      <c r="A650" s="35"/>
      <c r="B650" s="35"/>
      <c r="C650" s="35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</row>
    <row r="651">
      <c r="A651" s="35"/>
      <c r="B651" s="35"/>
      <c r="C651" s="35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</row>
    <row r="652">
      <c r="A652" s="35"/>
      <c r="B652" s="35"/>
      <c r="C652" s="35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</row>
    <row r="653">
      <c r="A653" s="35"/>
      <c r="B653" s="35"/>
      <c r="C653" s="35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</row>
    <row r="654">
      <c r="A654" s="35"/>
      <c r="B654" s="35"/>
      <c r="C654" s="35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</row>
    <row r="655">
      <c r="A655" s="35"/>
      <c r="B655" s="35"/>
      <c r="C655" s="35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</row>
    <row r="656">
      <c r="A656" s="35"/>
      <c r="B656" s="35"/>
      <c r="C656" s="35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</row>
    <row r="657">
      <c r="A657" s="35"/>
      <c r="B657" s="35"/>
      <c r="C657" s="35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</row>
    <row r="658">
      <c r="A658" s="35"/>
      <c r="B658" s="35"/>
      <c r="C658" s="35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</row>
    <row r="659">
      <c r="A659" s="35"/>
      <c r="B659" s="35"/>
      <c r="C659" s="35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</row>
    <row r="660">
      <c r="A660" s="35"/>
      <c r="B660" s="35"/>
      <c r="C660" s="35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</row>
    <row r="661">
      <c r="A661" s="35"/>
      <c r="B661" s="35"/>
      <c r="C661" s="35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</row>
    <row r="662">
      <c r="A662" s="35"/>
      <c r="B662" s="35"/>
      <c r="C662" s="35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</row>
    <row r="663">
      <c r="A663" s="35"/>
      <c r="B663" s="35"/>
      <c r="C663" s="35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</row>
    <row r="664">
      <c r="A664" s="35"/>
      <c r="B664" s="35"/>
      <c r="C664" s="35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</row>
    <row r="665">
      <c r="A665" s="35"/>
      <c r="B665" s="35"/>
      <c r="C665" s="35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</row>
    <row r="666">
      <c r="A666" s="35"/>
      <c r="B666" s="35"/>
      <c r="C666" s="35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</row>
    <row r="667">
      <c r="A667" s="35"/>
      <c r="B667" s="35"/>
      <c r="C667" s="35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</row>
    <row r="668">
      <c r="A668" s="35"/>
      <c r="B668" s="35"/>
      <c r="C668" s="35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</row>
    <row r="669">
      <c r="A669" s="35"/>
      <c r="B669" s="35"/>
      <c r="C669" s="35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</row>
    <row r="670">
      <c r="A670" s="35"/>
      <c r="B670" s="35"/>
      <c r="C670" s="35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</row>
    <row r="671">
      <c r="A671" s="35"/>
      <c r="B671" s="35"/>
      <c r="C671" s="35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</row>
    <row r="672">
      <c r="A672" s="35"/>
      <c r="B672" s="35"/>
      <c r="C672" s="35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</row>
    <row r="673">
      <c r="A673" s="35"/>
      <c r="B673" s="35"/>
      <c r="C673" s="35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</row>
    <row r="674">
      <c r="A674" s="35"/>
      <c r="B674" s="35"/>
      <c r="C674" s="35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</row>
    <row r="675">
      <c r="A675" s="35"/>
      <c r="B675" s="35"/>
      <c r="C675" s="35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</row>
    <row r="676">
      <c r="A676" s="35"/>
      <c r="B676" s="35"/>
      <c r="C676" s="35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</row>
    <row r="677">
      <c r="A677" s="35"/>
      <c r="B677" s="35"/>
      <c r="C677" s="35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</row>
    <row r="678">
      <c r="A678" s="35"/>
      <c r="B678" s="35"/>
      <c r="C678" s="35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</row>
    <row r="679">
      <c r="A679" s="35"/>
      <c r="B679" s="35"/>
      <c r="C679" s="35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</row>
    <row r="680">
      <c r="A680" s="35"/>
      <c r="B680" s="35"/>
      <c r="C680" s="35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</row>
    <row r="681">
      <c r="A681" s="35"/>
      <c r="B681" s="35"/>
      <c r="C681" s="35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</row>
    <row r="682">
      <c r="A682" s="35"/>
      <c r="B682" s="35"/>
      <c r="C682" s="35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</row>
    <row r="683">
      <c r="A683" s="35"/>
      <c r="B683" s="35"/>
      <c r="C683" s="35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</row>
    <row r="684">
      <c r="A684" s="35"/>
      <c r="B684" s="35"/>
      <c r="C684" s="35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</row>
    <row r="685">
      <c r="A685" s="35"/>
      <c r="B685" s="35"/>
      <c r="C685" s="35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</row>
    <row r="686">
      <c r="A686" s="35"/>
      <c r="B686" s="35"/>
      <c r="C686" s="35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</row>
    <row r="687">
      <c r="A687" s="35"/>
      <c r="B687" s="35"/>
      <c r="C687" s="35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</row>
    <row r="688">
      <c r="A688" s="35"/>
      <c r="B688" s="35"/>
      <c r="C688" s="35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</row>
    <row r="689">
      <c r="A689" s="35"/>
      <c r="B689" s="35"/>
      <c r="C689" s="35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</row>
    <row r="690">
      <c r="A690" s="35"/>
      <c r="B690" s="35"/>
      <c r="C690" s="35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</row>
    <row r="691">
      <c r="A691" s="35"/>
      <c r="B691" s="35"/>
      <c r="C691" s="35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</row>
    <row r="692">
      <c r="A692" s="35"/>
      <c r="B692" s="35"/>
      <c r="C692" s="35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</row>
    <row r="693">
      <c r="A693" s="35"/>
      <c r="B693" s="35"/>
      <c r="C693" s="35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</row>
    <row r="694">
      <c r="A694" s="35"/>
      <c r="B694" s="35"/>
      <c r="C694" s="35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</row>
    <row r="695">
      <c r="A695" s="35"/>
      <c r="B695" s="35"/>
      <c r="C695" s="35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</row>
    <row r="696">
      <c r="A696" s="35"/>
      <c r="B696" s="35"/>
      <c r="C696" s="35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</row>
    <row r="697">
      <c r="A697" s="35"/>
      <c r="B697" s="35"/>
      <c r="C697" s="35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</row>
    <row r="698">
      <c r="A698" s="35"/>
      <c r="B698" s="35"/>
      <c r="C698" s="35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</row>
    <row r="699">
      <c r="A699" s="35"/>
      <c r="B699" s="35"/>
      <c r="C699" s="35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</row>
    <row r="700">
      <c r="A700" s="35"/>
      <c r="B700" s="35"/>
      <c r="C700" s="35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</row>
    <row r="701">
      <c r="A701" s="35"/>
      <c r="B701" s="35"/>
      <c r="C701" s="35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</row>
    <row r="702">
      <c r="A702" s="35"/>
      <c r="B702" s="35"/>
      <c r="C702" s="35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</row>
    <row r="703">
      <c r="A703" s="35"/>
      <c r="B703" s="35"/>
      <c r="C703" s="35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</row>
    <row r="704">
      <c r="A704" s="35"/>
      <c r="B704" s="35"/>
      <c r="C704" s="35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</row>
    <row r="705">
      <c r="A705" s="35"/>
      <c r="B705" s="35"/>
      <c r="C705" s="35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</row>
    <row r="706">
      <c r="A706" s="35"/>
      <c r="B706" s="35"/>
      <c r="C706" s="35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</row>
    <row r="707">
      <c r="A707" s="35"/>
      <c r="B707" s="35"/>
      <c r="C707" s="35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</row>
    <row r="708">
      <c r="A708" s="35"/>
      <c r="B708" s="35"/>
      <c r="C708" s="35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</row>
    <row r="709">
      <c r="A709" s="35"/>
      <c r="B709" s="35"/>
      <c r="C709" s="35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</row>
    <row r="710">
      <c r="A710" s="35"/>
      <c r="B710" s="35"/>
      <c r="C710" s="35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</row>
    <row r="711">
      <c r="A711" s="35"/>
      <c r="B711" s="35"/>
      <c r="C711" s="35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</row>
    <row r="712">
      <c r="A712" s="35"/>
      <c r="B712" s="35"/>
      <c r="C712" s="35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</row>
    <row r="713">
      <c r="A713" s="35"/>
      <c r="B713" s="35"/>
      <c r="C713" s="35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</row>
    <row r="714">
      <c r="A714" s="35"/>
      <c r="B714" s="35"/>
      <c r="C714" s="35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</row>
    <row r="715">
      <c r="A715" s="35"/>
      <c r="B715" s="35"/>
      <c r="C715" s="35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</row>
    <row r="716">
      <c r="A716" s="35"/>
      <c r="B716" s="35"/>
      <c r="C716" s="35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</row>
    <row r="717">
      <c r="A717" s="35"/>
      <c r="B717" s="35"/>
      <c r="C717" s="35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</row>
    <row r="718">
      <c r="A718" s="35"/>
      <c r="B718" s="35"/>
      <c r="C718" s="35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</row>
    <row r="719">
      <c r="A719" s="35"/>
      <c r="B719" s="35"/>
      <c r="C719" s="35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</row>
    <row r="720">
      <c r="A720" s="35"/>
      <c r="B720" s="35"/>
      <c r="C720" s="35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</row>
    <row r="721">
      <c r="A721" s="35"/>
      <c r="B721" s="35"/>
      <c r="C721" s="35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</row>
    <row r="722">
      <c r="A722" s="35"/>
      <c r="B722" s="35"/>
      <c r="C722" s="35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</row>
    <row r="723">
      <c r="A723" s="35"/>
      <c r="B723" s="35"/>
      <c r="C723" s="35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</row>
    <row r="724">
      <c r="A724" s="35"/>
      <c r="B724" s="35"/>
      <c r="C724" s="35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</row>
    <row r="725">
      <c r="A725" s="35"/>
      <c r="B725" s="35"/>
      <c r="C725" s="35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</row>
    <row r="726">
      <c r="A726" s="35"/>
      <c r="B726" s="35"/>
      <c r="C726" s="35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</row>
    <row r="727">
      <c r="A727" s="35"/>
      <c r="B727" s="35"/>
      <c r="C727" s="35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</row>
    <row r="728">
      <c r="A728" s="35"/>
      <c r="B728" s="35"/>
      <c r="C728" s="35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</row>
    <row r="729">
      <c r="A729" s="35"/>
      <c r="B729" s="35"/>
      <c r="C729" s="35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</row>
    <row r="730">
      <c r="A730" s="35"/>
      <c r="B730" s="35"/>
      <c r="C730" s="35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</row>
    <row r="731">
      <c r="A731" s="35"/>
      <c r="B731" s="35"/>
      <c r="C731" s="35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</row>
    <row r="732">
      <c r="A732" s="35"/>
      <c r="B732" s="35"/>
      <c r="C732" s="35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</row>
    <row r="733">
      <c r="A733" s="35"/>
      <c r="B733" s="35"/>
      <c r="C733" s="35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</row>
    <row r="734">
      <c r="A734" s="35"/>
      <c r="B734" s="35"/>
      <c r="C734" s="35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</row>
    <row r="735">
      <c r="A735" s="35"/>
      <c r="B735" s="35"/>
      <c r="C735" s="35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</row>
    <row r="736">
      <c r="A736" s="35"/>
      <c r="B736" s="35"/>
      <c r="C736" s="35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</row>
    <row r="737">
      <c r="A737" s="35"/>
      <c r="B737" s="35"/>
      <c r="C737" s="35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</row>
    <row r="738">
      <c r="A738" s="35"/>
      <c r="B738" s="35"/>
      <c r="C738" s="35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</row>
    <row r="739">
      <c r="A739" s="35"/>
      <c r="B739" s="35"/>
      <c r="C739" s="35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</row>
    <row r="740">
      <c r="A740" s="35"/>
      <c r="B740" s="35"/>
      <c r="C740" s="35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</row>
    <row r="741">
      <c r="A741" s="35"/>
      <c r="B741" s="35"/>
      <c r="C741" s="35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</row>
    <row r="742">
      <c r="A742" s="35"/>
      <c r="B742" s="35"/>
      <c r="C742" s="35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</row>
    <row r="743">
      <c r="A743" s="35"/>
      <c r="B743" s="35"/>
      <c r="C743" s="35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</row>
    <row r="744">
      <c r="A744" s="35"/>
      <c r="B744" s="35"/>
      <c r="C744" s="35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</row>
    <row r="745">
      <c r="A745" s="35"/>
      <c r="B745" s="35"/>
      <c r="C745" s="35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</row>
    <row r="746">
      <c r="A746" s="35"/>
      <c r="B746" s="35"/>
      <c r="C746" s="35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</row>
    <row r="747">
      <c r="A747" s="35"/>
      <c r="B747" s="35"/>
      <c r="C747" s="35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</row>
    <row r="748">
      <c r="A748" s="35"/>
      <c r="B748" s="35"/>
      <c r="C748" s="35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</row>
    <row r="749">
      <c r="A749" s="35"/>
      <c r="B749" s="35"/>
      <c r="C749" s="35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</row>
    <row r="750">
      <c r="A750" s="35"/>
      <c r="B750" s="35"/>
      <c r="C750" s="35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</row>
    <row r="751">
      <c r="A751" s="35"/>
      <c r="B751" s="35"/>
      <c r="C751" s="35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</row>
    <row r="752">
      <c r="A752" s="35"/>
      <c r="B752" s="35"/>
      <c r="C752" s="35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</row>
    <row r="753">
      <c r="A753" s="35"/>
      <c r="B753" s="35"/>
      <c r="C753" s="35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</row>
    <row r="754">
      <c r="A754" s="35"/>
      <c r="B754" s="35"/>
      <c r="C754" s="35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</row>
    <row r="755">
      <c r="A755" s="35"/>
      <c r="B755" s="35"/>
      <c r="C755" s="35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</row>
    <row r="756">
      <c r="A756" s="35"/>
      <c r="B756" s="35"/>
      <c r="C756" s="35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</row>
    <row r="757">
      <c r="A757" s="35"/>
      <c r="B757" s="35"/>
      <c r="C757" s="35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</row>
    <row r="758">
      <c r="A758" s="35"/>
      <c r="B758" s="35"/>
      <c r="C758" s="35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</row>
    <row r="759">
      <c r="A759" s="35"/>
      <c r="B759" s="35"/>
      <c r="C759" s="35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</row>
    <row r="760">
      <c r="A760" s="35"/>
      <c r="B760" s="35"/>
      <c r="C760" s="35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</row>
    <row r="761">
      <c r="A761" s="35"/>
      <c r="B761" s="35"/>
      <c r="C761" s="35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</row>
    <row r="762">
      <c r="A762" s="35"/>
      <c r="B762" s="35"/>
      <c r="C762" s="35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</row>
    <row r="763">
      <c r="A763" s="35"/>
      <c r="B763" s="35"/>
      <c r="C763" s="35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</row>
    <row r="764">
      <c r="A764" s="35"/>
      <c r="B764" s="35"/>
      <c r="C764" s="35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</row>
    <row r="765">
      <c r="A765" s="35"/>
      <c r="B765" s="35"/>
      <c r="C765" s="35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</row>
    <row r="766">
      <c r="A766" s="35"/>
      <c r="B766" s="35"/>
      <c r="C766" s="35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</row>
    <row r="767">
      <c r="A767" s="35"/>
      <c r="B767" s="35"/>
      <c r="C767" s="35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</row>
    <row r="768">
      <c r="A768" s="35"/>
      <c r="B768" s="35"/>
      <c r="C768" s="35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</row>
    <row r="769">
      <c r="A769" s="35"/>
      <c r="B769" s="35"/>
      <c r="C769" s="35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</row>
    <row r="770">
      <c r="A770" s="35"/>
      <c r="B770" s="35"/>
      <c r="C770" s="35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</row>
    <row r="771">
      <c r="A771" s="35"/>
      <c r="B771" s="35"/>
      <c r="C771" s="35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</row>
    <row r="772">
      <c r="A772" s="35"/>
      <c r="B772" s="35"/>
      <c r="C772" s="35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</row>
    <row r="773">
      <c r="A773" s="35"/>
      <c r="B773" s="35"/>
      <c r="C773" s="35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</row>
    <row r="774">
      <c r="A774" s="35"/>
      <c r="B774" s="35"/>
      <c r="C774" s="35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</row>
    <row r="775">
      <c r="A775" s="35"/>
      <c r="B775" s="35"/>
      <c r="C775" s="35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</row>
    <row r="776">
      <c r="A776" s="35"/>
      <c r="B776" s="35"/>
      <c r="C776" s="35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</row>
    <row r="777">
      <c r="A777" s="35"/>
      <c r="B777" s="35"/>
      <c r="C777" s="35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</row>
    <row r="778">
      <c r="A778" s="35"/>
      <c r="B778" s="35"/>
      <c r="C778" s="35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</row>
    <row r="779">
      <c r="A779" s="35"/>
      <c r="B779" s="35"/>
      <c r="C779" s="35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</row>
    <row r="780">
      <c r="A780" s="35"/>
      <c r="B780" s="35"/>
      <c r="C780" s="35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</row>
    <row r="781">
      <c r="A781" s="35"/>
      <c r="B781" s="35"/>
      <c r="C781" s="35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</row>
    <row r="782">
      <c r="A782" s="35"/>
      <c r="B782" s="35"/>
      <c r="C782" s="35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</row>
    <row r="783">
      <c r="A783" s="35"/>
      <c r="B783" s="35"/>
      <c r="C783" s="35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</row>
    <row r="784">
      <c r="A784" s="35"/>
      <c r="B784" s="35"/>
      <c r="C784" s="35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</row>
    <row r="785">
      <c r="A785" s="35"/>
      <c r="B785" s="35"/>
      <c r="C785" s="35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</row>
    <row r="786">
      <c r="A786" s="35"/>
      <c r="B786" s="35"/>
      <c r="C786" s="35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</row>
    <row r="787">
      <c r="A787" s="35"/>
      <c r="B787" s="35"/>
      <c r="C787" s="35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</row>
    <row r="788">
      <c r="A788" s="35"/>
      <c r="B788" s="35"/>
      <c r="C788" s="35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</row>
    <row r="789">
      <c r="A789" s="35"/>
      <c r="B789" s="35"/>
      <c r="C789" s="35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</row>
    <row r="790">
      <c r="A790" s="35"/>
      <c r="B790" s="35"/>
      <c r="C790" s="35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</row>
    <row r="791">
      <c r="A791" s="35"/>
      <c r="B791" s="35"/>
      <c r="C791" s="35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</row>
    <row r="792">
      <c r="A792" s="35"/>
      <c r="B792" s="35"/>
      <c r="C792" s="35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</row>
    <row r="793">
      <c r="A793" s="35"/>
      <c r="B793" s="35"/>
      <c r="C793" s="35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</row>
    <row r="794">
      <c r="A794" s="35"/>
      <c r="B794" s="35"/>
      <c r="C794" s="35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</row>
    <row r="795">
      <c r="A795" s="35"/>
      <c r="B795" s="35"/>
      <c r="C795" s="35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</row>
    <row r="796">
      <c r="A796" s="35"/>
      <c r="B796" s="35"/>
      <c r="C796" s="35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</row>
    <row r="797">
      <c r="A797" s="35"/>
      <c r="B797" s="35"/>
      <c r="C797" s="35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</row>
    <row r="798">
      <c r="A798" s="35"/>
      <c r="B798" s="35"/>
      <c r="C798" s="35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</row>
    <row r="799">
      <c r="A799" s="35"/>
      <c r="B799" s="35"/>
      <c r="C799" s="35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</row>
    <row r="800">
      <c r="A800" s="35"/>
      <c r="B800" s="35"/>
      <c r="C800" s="35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</row>
    <row r="801">
      <c r="A801" s="35"/>
      <c r="B801" s="35"/>
      <c r="C801" s="35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</row>
    <row r="802">
      <c r="A802" s="35"/>
      <c r="B802" s="35"/>
      <c r="C802" s="35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</row>
    <row r="803">
      <c r="A803" s="35"/>
      <c r="B803" s="35"/>
      <c r="C803" s="35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</row>
    <row r="804">
      <c r="A804" s="35"/>
      <c r="B804" s="35"/>
      <c r="C804" s="35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</row>
    <row r="805">
      <c r="A805" s="35"/>
      <c r="B805" s="35"/>
      <c r="C805" s="35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</row>
    <row r="806">
      <c r="A806" s="35"/>
      <c r="B806" s="35"/>
      <c r="C806" s="35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</row>
    <row r="807">
      <c r="A807" s="35"/>
      <c r="B807" s="35"/>
      <c r="C807" s="35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</row>
    <row r="808">
      <c r="A808" s="35"/>
      <c r="B808" s="35"/>
      <c r="C808" s="35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</row>
    <row r="809">
      <c r="A809" s="35"/>
      <c r="B809" s="35"/>
      <c r="C809" s="35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</row>
    <row r="810">
      <c r="A810" s="35"/>
      <c r="B810" s="35"/>
      <c r="C810" s="35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</row>
    <row r="811">
      <c r="A811" s="35"/>
      <c r="B811" s="35"/>
      <c r="C811" s="35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</row>
    <row r="812">
      <c r="A812" s="35"/>
      <c r="B812" s="35"/>
      <c r="C812" s="35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</row>
    <row r="813">
      <c r="A813" s="35"/>
      <c r="B813" s="35"/>
      <c r="C813" s="35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</row>
    <row r="814">
      <c r="A814" s="35"/>
      <c r="B814" s="35"/>
      <c r="C814" s="35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</row>
    <row r="815">
      <c r="A815" s="35"/>
      <c r="B815" s="35"/>
      <c r="C815" s="35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</row>
    <row r="816">
      <c r="A816" s="35"/>
      <c r="B816" s="35"/>
      <c r="C816" s="35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</row>
    <row r="817">
      <c r="A817" s="35"/>
      <c r="B817" s="35"/>
      <c r="C817" s="35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</row>
    <row r="818">
      <c r="A818" s="35"/>
      <c r="B818" s="35"/>
      <c r="C818" s="35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</row>
    <row r="819">
      <c r="A819" s="35"/>
      <c r="B819" s="35"/>
      <c r="C819" s="35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</row>
    <row r="820">
      <c r="A820" s="35"/>
      <c r="B820" s="35"/>
      <c r="C820" s="35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</row>
    <row r="821">
      <c r="A821" s="35"/>
      <c r="B821" s="35"/>
      <c r="C821" s="35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</row>
    <row r="822">
      <c r="A822" s="35"/>
      <c r="B822" s="35"/>
      <c r="C822" s="35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</row>
    <row r="823">
      <c r="A823" s="35"/>
      <c r="B823" s="35"/>
      <c r="C823" s="35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</row>
    <row r="824">
      <c r="A824" s="35"/>
      <c r="B824" s="35"/>
      <c r="C824" s="35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</row>
    <row r="825">
      <c r="A825" s="35"/>
      <c r="B825" s="35"/>
      <c r="C825" s="35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</row>
    <row r="826">
      <c r="A826" s="35"/>
      <c r="B826" s="35"/>
      <c r="C826" s="35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</row>
    <row r="827">
      <c r="A827" s="35"/>
      <c r="B827" s="35"/>
      <c r="C827" s="35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</row>
    <row r="828">
      <c r="A828" s="35"/>
      <c r="B828" s="35"/>
      <c r="C828" s="35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</row>
    <row r="829">
      <c r="A829" s="35"/>
      <c r="B829" s="35"/>
      <c r="C829" s="35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</row>
    <row r="830">
      <c r="A830" s="35"/>
      <c r="B830" s="35"/>
      <c r="C830" s="35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</row>
    <row r="831">
      <c r="A831" s="35"/>
      <c r="B831" s="35"/>
      <c r="C831" s="35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</row>
    <row r="832">
      <c r="A832" s="35"/>
      <c r="B832" s="35"/>
      <c r="C832" s="35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</row>
    <row r="833">
      <c r="A833" s="35"/>
      <c r="B833" s="35"/>
      <c r="C833" s="35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</row>
    <row r="834">
      <c r="A834" s="35"/>
      <c r="B834" s="35"/>
      <c r="C834" s="35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</row>
    <row r="835">
      <c r="A835" s="35"/>
      <c r="B835" s="35"/>
      <c r="C835" s="35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</row>
    <row r="836">
      <c r="A836" s="35"/>
      <c r="B836" s="35"/>
      <c r="C836" s="35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</row>
    <row r="837">
      <c r="A837" s="35"/>
      <c r="B837" s="35"/>
      <c r="C837" s="35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</row>
    <row r="838">
      <c r="A838" s="35"/>
      <c r="B838" s="35"/>
      <c r="C838" s="35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</row>
    <row r="839">
      <c r="A839" s="35"/>
      <c r="B839" s="35"/>
      <c r="C839" s="35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</row>
    <row r="840">
      <c r="A840" s="35"/>
      <c r="B840" s="35"/>
      <c r="C840" s="35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</row>
    <row r="841">
      <c r="A841" s="35"/>
      <c r="B841" s="35"/>
      <c r="C841" s="35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</row>
    <row r="842">
      <c r="A842" s="35"/>
      <c r="B842" s="35"/>
      <c r="C842" s="35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</row>
    <row r="843">
      <c r="A843" s="35"/>
      <c r="B843" s="35"/>
      <c r="C843" s="35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</row>
    <row r="844">
      <c r="A844" s="35"/>
      <c r="B844" s="35"/>
      <c r="C844" s="35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</row>
    <row r="845">
      <c r="A845" s="35"/>
      <c r="B845" s="35"/>
      <c r="C845" s="35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</row>
    <row r="846">
      <c r="A846" s="35"/>
      <c r="B846" s="35"/>
      <c r="C846" s="35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</row>
    <row r="847">
      <c r="A847" s="35"/>
      <c r="B847" s="35"/>
      <c r="C847" s="35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</row>
    <row r="848">
      <c r="A848" s="35"/>
      <c r="B848" s="35"/>
      <c r="C848" s="35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</row>
    <row r="849">
      <c r="A849" s="35"/>
      <c r="B849" s="35"/>
      <c r="C849" s="35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</row>
    <row r="850">
      <c r="A850" s="35"/>
      <c r="B850" s="35"/>
      <c r="C850" s="35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</row>
    <row r="851">
      <c r="A851" s="35"/>
      <c r="B851" s="35"/>
      <c r="C851" s="35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</row>
    <row r="852">
      <c r="A852" s="35"/>
      <c r="B852" s="35"/>
      <c r="C852" s="35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</row>
    <row r="853">
      <c r="A853" s="35"/>
      <c r="B853" s="35"/>
      <c r="C853" s="35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</row>
    <row r="854">
      <c r="A854" s="35"/>
      <c r="B854" s="35"/>
      <c r="C854" s="35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</row>
    <row r="855">
      <c r="A855" s="35"/>
      <c r="B855" s="35"/>
      <c r="C855" s="35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</row>
    <row r="856">
      <c r="A856" s="35"/>
      <c r="B856" s="35"/>
      <c r="C856" s="35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</row>
    <row r="857">
      <c r="A857" s="35"/>
      <c r="B857" s="35"/>
      <c r="C857" s="35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</row>
    <row r="858">
      <c r="A858" s="35"/>
      <c r="B858" s="35"/>
      <c r="C858" s="35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</row>
    <row r="859">
      <c r="A859" s="35"/>
      <c r="B859" s="35"/>
      <c r="C859" s="35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</row>
    <row r="860">
      <c r="A860" s="35"/>
      <c r="B860" s="35"/>
      <c r="C860" s="35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</row>
    <row r="861">
      <c r="A861" s="35"/>
      <c r="B861" s="35"/>
      <c r="C861" s="35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</row>
    <row r="862">
      <c r="A862" s="35"/>
      <c r="B862" s="35"/>
      <c r="C862" s="35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</row>
    <row r="863">
      <c r="A863" s="35"/>
      <c r="B863" s="35"/>
      <c r="C863" s="35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</row>
    <row r="864">
      <c r="A864" s="35"/>
      <c r="B864" s="35"/>
      <c r="C864" s="35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</row>
    <row r="865">
      <c r="A865" s="35"/>
      <c r="B865" s="35"/>
      <c r="C865" s="35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</row>
    <row r="866">
      <c r="A866" s="35"/>
      <c r="B866" s="35"/>
      <c r="C866" s="35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</row>
    <row r="867">
      <c r="A867" s="35"/>
      <c r="B867" s="35"/>
      <c r="C867" s="35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</row>
    <row r="868">
      <c r="A868" s="35"/>
      <c r="B868" s="35"/>
      <c r="C868" s="35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</row>
    <row r="869">
      <c r="A869" s="35"/>
      <c r="B869" s="35"/>
      <c r="C869" s="35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</row>
    <row r="870">
      <c r="A870" s="35"/>
      <c r="B870" s="35"/>
      <c r="C870" s="35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</row>
    <row r="871">
      <c r="A871" s="35"/>
      <c r="B871" s="35"/>
      <c r="C871" s="35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</row>
    <row r="872">
      <c r="A872" s="35"/>
      <c r="B872" s="35"/>
      <c r="C872" s="35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</row>
    <row r="873">
      <c r="A873" s="35"/>
      <c r="B873" s="35"/>
      <c r="C873" s="35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</row>
    <row r="874">
      <c r="A874" s="35"/>
      <c r="B874" s="35"/>
      <c r="C874" s="35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</row>
    <row r="875">
      <c r="A875" s="35"/>
      <c r="B875" s="35"/>
      <c r="C875" s="35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</row>
    <row r="876">
      <c r="A876" s="35"/>
      <c r="B876" s="35"/>
      <c r="C876" s="35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</row>
    <row r="877">
      <c r="A877" s="35"/>
      <c r="B877" s="35"/>
      <c r="C877" s="35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</row>
    <row r="878">
      <c r="A878" s="35"/>
      <c r="B878" s="35"/>
      <c r="C878" s="35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</row>
    <row r="879">
      <c r="A879" s="35"/>
      <c r="B879" s="35"/>
      <c r="C879" s="35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</row>
    <row r="880">
      <c r="A880" s="35"/>
      <c r="B880" s="35"/>
      <c r="C880" s="35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</row>
    <row r="881">
      <c r="A881" s="35"/>
      <c r="B881" s="35"/>
      <c r="C881" s="35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</row>
    <row r="882">
      <c r="A882" s="35"/>
      <c r="B882" s="35"/>
      <c r="C882" s="35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</row>
    <row r="883">
      <c r="A883" s="35"/>
      <c r="B883" s="35"/>
      <c r="C883" s="35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</row>
    <row r="884">
      <c r="A884" s="35"/>
      <c r="B884" s="35"/>
      <c r="C884" s="35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</row>
    <row r="885">
      <c r="A885" s="35"/>
      <c r="B885" s="35"/>
      <c r="C885" s="35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</row>
    <row r="886">
      <c r="A886" s="35"/>
      <c r="B886" s="35"/>
      <c r="C886" s="35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</row>
    <row r="887">
      <c r="A887" s="35"/>
      <c r="B887" s="35"/>
      <c r="C887" s="35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</row>
    <row r="888">
      <c r="A888" s="35"/>
      <c r="B888" s="35"/>
      <c r="C888" s="35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</row>
    <row r="889">
      <c r="A889" s="35"/>
      <c r="B889" s="35"/>
      <c r="C889" s="35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</row>
    <row r="890">
      <c r="A890" s="35"/>
      <c r="B890" s="35"/>
      <c r="C890" s="35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</row>
    <row r="891">
      <c r="A891" s="35"/>
      <c r="B891" s="35"/>
      <c r="C891" s="35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</row>
    <row r="892">
      <c r="A892" s="35"/>
      <c r="B892" s="35"/>
      <c r="C892" s="35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</row>
    <row r="893">
      <c r="A893" s="35"/>
      <c r="B893" s="35"/>
      <c r="C893" s="35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</row>
    <row r="894">
      <c r="A894" s="35"/>
      <c r="B894" s="35"/>
      <c r="C894" s="35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</row>
    <row r="895">
      <c r="A895" s="35"/>
      <c r="B895" s="35"/>
      <c r="C895" s="35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</row>
    <row r="896">
      <c r="A896" s="35"/>
      <c r="B896" s="35"/>
      <c r="C896" s="35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</row>
    <row r="897">
      <c r="A897" s="35"/>
      <c r="B897" s="35"/>
      <c r="C897" s="35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</row>
    <row r="898">
      <c r="A898" s="35"/>
      <c r="B898" s="35"/>
      <c r="C898" s="35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</row>
    <row r="899">
      <c r="A899" s="35"/>
      <c r="B899" s="35"/>
      <c r="C899" s="35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</row>
    <row r="900">
      <c r="A900" s="35"/>
      <c r="B900" s="35"/>
      <c r="C900" s="35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</row>
    <row r="901">
      <c r="A901" s="35"/>
      <c r="B901" s="35"/>
      <c r="C901" s="35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</row>
    <row r="902">
      <c r="A902" s="35"/>
      <c r="B902" s="35"/>
      <c r="C902" s="35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</row>
    <row r="903">
      <c r="A903" s="35"/>
      <c r="B903" s="35"/>
      <c r="C903" s="35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</row>
    <row r="904">
      <c r="A904" s="35"/>
      <c r="B904" s="35"/>
      <c r="C904" s="35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</row>
    <row r="905">
      <c r="A905" s="35"/>
      <c r="B905" s="35"/>
      <c r="C905" s="35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</row>
    <row r="906">
      <c r="A906" s="35"/>
      <c r="B906" s="35"/>
      <c r="C906" s="35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</row>
    <row r="907">
      <c r="A907" s="35"/>
      <c r="B907" s="35"/>
      <c r="C907" s="35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</row>
    <row r="908">
      <c r="A908" s="35"/>
      <c r="B908" s="35"/>
      <c r="C908" s="35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</row>
    <row r="909">
      <c r="A909" s="35"/>
      <c r="B909" s="35"/>
      <c r="C909" s="35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</row>
    <row r="910">
      <c r="A910" s="35"/>
      <c r="B910" s="35"/>
      <c r="C910" s="35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</row>
    <row r="911">
      <c r="A911" s="35"/>
      <c r="B911" s="35"/>
      <c r="C911" s="35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</row>
    <row r="912">
      <c r="A912" s="35"/>
      <c r="B912" s="35"/>
      <c r="C912" s="35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</row>
    <row r="913">
      <c r="A913" s="35"/>
      <c r="B913" s="35"/>
      <c r="C913" s="35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</row>
    <row r="914">
      <c r="A914" s="35"/>
      <c r="B914" s="35"/>
      <c r="C914" s="35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</row>
    <row r="915">
      <c r="A915" s="35"/>
      <c r="B915" s="35"/>
      <c r="C915" s="35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</row>
    <row r="916">
      <c r="A916" s="35"/>
      <c r="B916" s="35"/>
      <c r="C916" s="35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</row>
    <row r="917">
      <c r="A917" s="35"/>
      <c r="B917" s="35"/>
      <c r="C917" s="35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</row>
    <row r="918">
      <c r="A918" s="35"/>
      <c r="B918" s="35"/>
      <c r="C918" s="35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</row>
    <row r="919">
      <c r="A919" s="35"/>
      <c r="B919" s="35"/>
      <c r="C919" s="35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</row>
    <row r="920">
      <c r="A920" s="35"/>
      <c r="B920" s="35"/>
      <c r="C920" s="35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</row>
    <row r="921">
      <c r="A921" s="35"/>
      <c r="B921" s="35"/>
      <c r="C921" s="35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</row>
    <row r="922">
      <c r="A922" s="35"/>
      <c r="B922" s="35"/>
      <c r="C922" s="35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</row>
    <row r="923">
      <c r="A923" s="35"/>
      <c r="B923" s="35"/>
      <c r="C923" s="35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</row>
    <row r="924">
      <c r="A924" s="35"/>
      <c r="B924" s="35"/>
      <c r="C924" s="35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</row>
    <row r="925">
      <c r="A925" s="35"/>
      <c r="B925" s="35"/>
      <c r="C925" s="35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</row>
    <row r="926">
      <c r="A926" s="35"/>
      <c r="B926" s="35"/>
      <c r="C926" s="35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</row>
    <row r="927">
      <c r="A927" s="35"/>
      <c r="B927" s="35"/>
      <c r="C927" s="35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</row>
    <row r="928">
      <c r="A928" s="35"/>
      <c r="B928" s="35"/>
      <c r="C928" s="35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</row>
    <row r="929">
      <c r="A929" s="35"/>
      <c r="B929" s="35"/>
      <c r="C929" s="35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</row>
    <row r="930">
      <c r="A930" s="35"/>
      <c r="B930" s="35"/>
      <c r="C930" s="35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</row>
    <row r="931">
      <c r="A931" s="35"/>
      <c r="B931" s="35"/>
      <c r="C931" s="35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</row>
    <row r="932">
      <c r="A932" s="35"/>
      <c r="B932" s="35"/>
      <c r="C932" s="35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</row>
    <row r="933">
      <c r="A933" s="35"/>
      <c r="B933" s="35"/>
      <c r="C933" s="35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</row>
    <row r="934">
      <c r="A934" s="35"/>
      <c r="B934" s="35"/>
      <c r="C934" s="35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</row>
    <row r="935">
      <c r="A935" s="35"/>
      <c r="B935" s="35"/>
      <c r="C935" s="35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</row>
    <row r="936">
      <c r="A936" s="35"/>
      <c r="B936" s="35"/>
      <c r="C936" s="35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</row>
    <row r="937">
      <c r="A937" s="35"/>
      <c r="B937" s="35"/>
      <c r="C937" s="35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</row>
    <row r="938">
      <c r="A938" s="35"/>
      <c r="B938" s="35"/>
      <c r="C938" s="35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</row>
    <row r="939">
      <c r="A939" s="35"/>
      <c r="B939" s="35"/>
      <c r="C939" s="35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</row>
    <row r="940">
      <c r="A940" s="35"/>
      <c r="B940" s="35"/>
      <c r="C940" s="35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</row>
    <row r="941">
      <c r="A941" s="35"/>
      <c r="B941" s="35"/>
      <c r="C941" s="35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</row>
    <row r="942">
      <c r="A942" s="35"/>
      <c r="B942" s="35"/>
      <c r="C942" s="35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</row>
    <row r="943">
      <c r="A943" s="35"/>
      <c r="B943" s="35"/>
      <c r="C943" s="35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</row>
    <row r="944">
      <c r="A944" s="35"/>
      <c r="B944" s="35"/>
      <c r="C944" s="35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</row>
    <row r="945">
      <c r="A945" s="35"/>
      <c r="B945" s="35"/>
      <c r="C945" s="35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</row>
    <row r="946">
      <c r="A946" s="35"/>
      <c r="B946" s="35"/>
      <c r="C946" s="35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</row>
    <row r="947">
      <c r="A947" s="35"/>
      <c r="B947" s="35"/>
      <c r="C947" s="35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</row>
    <row r="948">
      <c r="A948" s="35"/>
      <c r="B948" s="35"/>
      <c r="C948" s="35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</row>
    <row r="949">
      <c r="A949" s="35"/>
      <c r="B949" s="35"/>
      <c r="C949" s="35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</row>
    <row r="950">
      <c r="A950" s="35"/>
      <c r="B950" s="35"/>
      <c r="C950" s="35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</row>
    <row r="951">
      <c r="A951" s="35"/>
      <c r="B951" s="35"/>
      <c r="C951" s="35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</row>
    <row r="952">
      <c r="A952" s="35"/>
      <c r="B952" s="35"/>
      <c r="C952" s="35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</row>
    <row r="953">
      <c r="A953" s="35"/>
      <c r="B953" s="35"/>
      <c r="C953" s="35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</row>
    <row r="954">
      <c r="A954" s="35"/>
      <c r="B954" s="35"/>
      <c r="C954" s="35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</row>
    <row r="955">
      <c r="A955" s="35"/>
      <c r="B955" s="35"/>
      <c r="C955" s="35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</row>
    <row r="956">
      <c r="A956" s="35"/>
      <c r="B956" s="35"/>
      <c r="C956" s="35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</row>
    <row r="957">
      <c r="A957" s="35"/>
      <c r="B957" s="35"/>
      <c r="C957" s="35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</row>
    <row r="958">
      <c r="A958" s="35"/>
      <c r="B958" s="35"/>
      <c r="C958" s="35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</row>
    <row r="959">
      <c r="A959" s="35"/>
      <c r="B959" s="35"/>
      <c r="C959" s="35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</row>
    <row r="960">
      <c r="A960" s="35"/>
      <c r="B960" s="35"/>
      <c r="C960" s="35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</row>
    <row r="961">
      <c r="A961" s="35"/>
      <c r="B961" s="35"/>
      <c r="C961" s="35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</row>
    <row r="962">
      <c r="A962" s="35"/>
      <c r="B962" s="35"/>
      <c r="C962" s="35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</row>
    <row r="963">
      <c r="A963" s="35"/>
      <c r="B963" s="35"/>
      <c r="C963" s="35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</row>
    <row r="964">
      <c r="A964" s="35"/>
      <c r="B964" s="35"/>
      <c r="C964" s="35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</row>
    <row r="965">
      <c r="A965" s="35"/>
      <c r="B965" s="35"/>
      <c r="C965" s="35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</row>
    <row r="966">
      <c r="A966" s="35"/>
      <c r="B966" s="35"/>
      <c r="C966" s="35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</row>
    <row r="967">
      <c r="A967" s="35"/>
      <c r="B967" s="35"/>
      <c r="C967" s="35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</row>
    <row r="968">
      <c r="A968" s="35"/>
      <c r="B968" s="35"/>
      <c r="C968" s="35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</row>
    <row r="969">
      <c r="A969" s="35"/>
      <c r="B969" s="35"/>
      <c r="C969" s="35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</row>
    <row r="970">
      <c r="A970" s="35"/>
      <c r="B970" s="35"/>
      <c r="C970" s="35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</row>
    <row r="971">
      <c r="A971" s="35"/>
      <c r="B971" s="35"/>
      <c r="C971" s="35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</row>
    <row r="972">
      <c r="A972" s="35"/>
      <c r="B972" s="35"/>
      <c r="C972" s="35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</row>
    <row r="973">
      <c r="A973" s="35"/>
      <c r="B973" s="35"/>
      <c r="C973" s="35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</row>
    <row r="974">
      <c r="A974" s="35"/>
      <c r="B974" s="35"/>
      <c r="C974" s="35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</row>
  </sheetData>
  <mergeCells count="24">
    <mergeCell ref="K5:K6"/>
    <mergeCell ref="L5:L6"/>
    <mergeCell ref="B1:O4"/>
    <mergeCell ref="A5:A6"/>
    <mergeCell ref="B5:B6"/>
    <mergeCell ref="C5:C6"/>
    <mergeCell ref="D5:D6"/>
    <mergeCell ref="E5:I5"/>
    <mergeCell ref="J5:J6"/>
    <mergeCell ref="O5:O6"/>
    <mergeCell ref="E32:I32"/>
    <mergeCell ref="J32:J33"/>
    <mergeCell ref="K32:K33"/>
    <mergeCell ref="L32:L33"/>
    <mergeCell ref="M32:M33"/>
    <mergeCell ref="N32:N33"/>
    <mergeCell ref="M5:M6"/>
    <mergeCell ref="N5:N6"/>
    <mergeCell ref="B28:O31"/>
    <mergeCell ref="A32:A33"/>
    <mergeCell ref="B32:B33"/>
    <mergeCell ref="C32:C33"/>
    <mergeCell ref="D32:D33"/>
    <mergeCell ref="O32:O33"/>
  </mergeCells>
  <conditionalFormatting sqref="K7:K26 M7:M26 K34:K53 M34:M52">
    <cfRule type="cellIs" dxfId="0" priority="1" operator="between">
      <formula>"0%"</formula>
      <formula>"79.99%"</formula>
    </cfRule>
  </conditionalFormatting>
  <conditionalFormatting sqref="K7:K26 M7:M26 K34:K53 M34:M52">
    <cfRule type="cellIs" dxfId="1" priority="2" operator="between">
      <formula>"80%"</formula>
      <formula>"99.99%"</formula>
    </cfRule>
  </conditionalFormatting>
  <conditionalFormatting sqref="K7:K26 M7:M26 K34:K53 M34:M52">
    <cfRule type="cellIs" dxfId="2" priority="3" operator="between">
      <formula>"100%"</formula>
      <formula>"500%"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5.13"/>
    <col customWidth="1" min="3" max="3" width="22.88"/>
    <col customWidth="1" min="4" max="5" width="15.13"/>
    <col customWidth="1" min="13" max="13" width="13.63"/>
    <col customWidth="1" min="16" max="16" width="24.0"/>
    <col customWidth="1" min="17" max="17" width="14.88"/>
  </cols>
  <sheetData>
    <row r="1" ht="14.25" customHeight="1">
      <c r="A1" s="69" t="s">
        <v>0</v>
      </c>
      <c r="B1" s="42" t="s">
        <v>126</v>
      </c>
    </row>
    <row r="2" ht="11.25" customHeight="1">
      <c r="A2" s="3"/>
    </row>
    <row r="3">
      <c r="A3" s="3"/>
    </row>
    <row r="4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>
      <c r="A5" s="5" t="s">
        <v>2</v>
      </c>
      <c r="B5" s="5" t="s">
        <v>3</v>
      </c>
      <c r="C5" s="5" t="s">
        <v>4</v>
      </c>
      <c r="D5" s="6" t="s">
        <v>5</v>
      </c>
      <c r="E5" s="7" t="s">
        <v>6</v>
      </c>
      <c r="F5" s="4"/>
      <c r="G5" s="4"/>
      <c r="H5" s="4"/>
      <c r="I5" s="8"/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12</v>
      </c>
    </row>
    <row r="6">
      <c r="A6" s="8"/>
      <c r="B6" s="8"/>
      <c r="C6" s="8"/>
      <c r="D6" s="8"/>
      <c r="E6" s="9" t="s">
        <v>13</v>
      </c>
      <c r="F6" s="9" t="s">
        <v>14</v>
      </c>
      <c r="G6" s="9" t="s">
        <v>15</v>
      </c>
      <c r="H6" s="9" t="s">
        <v>16</v>
      </c>
      <c r="I6" s="9" t="s">
        <v>17</v>
      </c>
      <c r="J6" s="8"/>
      <c r="K6" s="8"/>
      <c r="L6" s="8"/>
      <c r="M6" s="8"/>
      <c r="N6" s="8"/>
      <c r="O6" s="8"/>
    </row>
    <row r="7">
      <c r="A7" s="10">
        <v>100.0</v>
      </c>
      <c r="B7" s="11" t="s">
        <v>18</v>
      </c>
      <c r="C7" s="11" t="s">
        <v>19</v>
      </c>
      <c r="D7" s="12">
        <f>902500000/90%</f>
        <v>1002777778</v>
      </c>
      <c r="E7" s="12">
        <v>2.568548094E8</v>
      </c>
      <c r="F7" s="12">
        <v>2.3126983524E8</v>
      </c>
      <c r="G7" s="12">
        <v>3.0536012663E8</v>
      </c>
      <c r="H7" s="13">
        <v>1.7776084664E8</v>
      </c>
      <c r="I7" s="13"/>
      <c r="J7" s="14">
        <f t="shared" ref="J7:J9" si="1">SUM(E7:I7)</f>
        <v>971245617.9</v>
      </c>
      <c r="K7" s="15">
        <f t="shared" ref="K7:K26" si="2">J7/D7</f>
        <v>0.9685551868</v>
      </c>
      <c r="L7" s="16">
        <f t="shared" ref="L7:L9" si="3">J7/O7*N7</f>
        <v>971245617.9</v>
      </c>
      <c r="M7" s="59">
        <f t="shared" ref="M7:M9" si="4">L7/D7</f>
        <v>0.9685551868</v>
      </c>
      <c r="N7" s="18">
        <v>23.0</v>
      </c>
      <c r="O7" s="19">
        <v>23.0</v>
      </c>
      <c r="P7" s="20" t="s">
        <v>127</v>
      </c>
      <c r="Q7" s="11" t="s">
        <v>18</v>
      </c>
      <c r="R7" s="91">
        <v>0.861212882509951</v>
      </c>
    </row>
    <row r="8">
      <c r="A8" s="10">
        <v>6.0</v>
      </c>
      <c r="B8" s="11" t="s">
        <v>21</v>
      </c>
      <c r="C8" s="11" t="s">
        <v>19</v>
      </c>
      <c r="D8" s="12">
        <f>72000000/90%</f>
        <v>80000000</v>
      </c>
      <c r="E8" s="12">
        <v>3.571962493E7</v>
      </c>
      <c r="F8" s="12">
        <v>1.672292722E7</v>
      </c>
      <c r="G8" s="12">
        <v>1.886737458E7</v>
      </c>
      <c r="H8" s="13">
        <v>1.199772166E7</v>
      </c>
      <c r="I8" s="12"/>
      <c r="J8" s="14">
        <f t="shared" si="1"/>
        <v>83307648.39</v>
      </c>
      <c r="K8" s="15">
        <f t="shared" si="2"/>
        <v>1.041345605</v>
      </c>
      <c r="L8" s="16">
        <f t="shared" si="3"/>
        <v>83307648.39</v>
      </c>
      <c r="M8" s="59">
        <f t="shared" si="4"/>
        <v>1.041345605</v>
      </c>
      <c r="N8" s="18">
        <v>23.0</v>
      </c>
      <c r="O8" s="19">
        <v>23.0</v>
      </c>
      <c r="P8" s="20" t="s">
        <v>127</v>
      </c>
      <c r="Q8" s="11" t="s">
        <v>21</v>
      </c>
      <c r="R8" s="91">
        <v>1.0354208900480768</v>
      </c>
    </row>
    <row r="9">
      <c r="A9" s="10">
        <v>64.0</v>
      </c>
      <c r="B9" s="10" t="s">
        <v>22</v>
      </c>
      <c r="C9" s="11" t="s">
        <v>19</v>
      </c>
      <c r="D9" s="12">
        <v>4.0E8</v>
      </c>
      <c r="E9" s="12">
        <v>1.236125E8</v>
      </c>
      <c r="F9" s="12">
        <v>7.8145283E7</v>
      </c>
      <c r="G9" s="12">
        <v>7.4543E7</v>
      </c>
      <c r="H9" s="12">
        <v>4.09865E7</v>
      </c>
      <c r="I9" s="12"/>
      <c r="J9" s="14">
        <f t="shared" si="1"/>
        <v>317287283</v>
      </c>
      <c r="K9" s="15">
        <f t="shared" si="2"/>
        <v>0.7932182075</v>
      </c>
      <c r="L9" s="16">
        <f t="shared" si="3"/>
        <v>317287283</v>
      </c>
      <c r="M9" s="59">
        <f t="shared" si="4"/>
        <v>0.7932182075</v>
      </c>
      <c r="N9" s="18">
        <v>23.0</v>
      </c>
      <c r="O9" s="19">
        <v>23.0</v>
      </c>
      <c r="P9" s="20" t="s">
        <v>128</v>
      </c>
      <c r="Q9" s="10" t="s">
        <v>22</v>
      </c>
      <c r="R9" s="91">
        <v>0.89145035875</v>
      </c>
    </row>
    <row r="10">
      <c r="A10" s="10">
        <v>2.0</v>
      </c>
      <c r="B10" s="10" t="s">
        <v>24</v>
      </c>
      <c r="C10" s="10" t="s">
        <v>68</v>
      </c>
      <c r="D10" s="21">
        <v>1.0</v>
      </c>
      <c r="E10" s="21">
        <v>1.4</v>
      </c>
      <c r="F10" s="21">
        <v>1.4</v>
      </c>
      <c r="G10" s="21">
        <v>1.4</v>
      </c>
      <c r="H10" s="21">
        <v>1.36</v>
      </c>
      <c r="I10" s="21"/>
      <c r="J10" s="57">
        <f t="shared" ref="J10:J11" si="5">H10</f>
        <v>1.36</v>
      </c>
      <c r="K10" s="15">
        <f t="shared" si="2"/>
        <v>1.36</v>
      </c>
      <c r="L10" s="58">
        <f t="shared" ref="L10:L11" si="6">K10</f>
        <v>1.36</v>
      </c>
      <c r="M10" s="59">
        <f t="shared" ref="M10:M11" si="7">K10</f>
        <v>1.36</v>
      </c>
      <c r="N10" s="18">
        <v>19.0</v>
      </c>
      <c r="O10" s="19">
        <v>19.0</v>
      </c>
      <c r="P10" s="20" t="s">
        <v>129</v>
      </c>
      <c r="Q10" s="10" t="s">
        <v>24</v>
      </c>
      <c r="R10" s="91">
        <v>1.4</v>
      </c>
    </row>
    <row r="11">
      <c r="A11" s="10">
        <v>10.0</v>
      </c>
      <c r="B11" s="10" t="s">
        <v>25</v>
      </c>
      <c r="C11" s="11" t="s">
        <v>26</v>
      </c>
      <c r="D11" s="21">
        <v>0.8</v>
      </c>
      <c r="E11" s="21">
        <v>0.7986</v>
      </c>
      <c r="F11" s="21">
        <v>0.5714</v>
      </c>
      <c r="G11" s="21">
        <v>0.825</v>
      </c>
      <c r="H11" s="21">
        <v>1.1825</v>
      </c>
      <c r="I11" s="24"/>
      <c r="J11" s="57">
        <f t="shared" si="5"/>
        <v>1.1825</v>
      </c>
      <c r="K11" s="15">
        <f t="shared" si="2"/>
        <v>1.478125</v>
      </c>
      <c r="L11" s="58">
        <f t="shared" si="6"/>
        <v>1.478125</v>
      </c>
      <c r="M11" s="78">
        <f t="shared" si="7"/>
        <v>1.478125</v>
      </c>
      <c r="N11" s="18">
        <v>19.0</v>
      </c>
      <c r="O11" s="19">
        <v>19.0</v>
      </c>
      <c r="P11" s="20" t="s">
        <v>129</v>
      </c>
      <c r="Q11" s="10" t="s">
        <v>25</v>
      </c>
      <c r="R11" s="92">
        <v>0.699125</v>
      </c>
    </row>
    <row r="12">
      <c r="A12" s="10">
        <v>21.0</v>
      </c>
      <c r="B12" s="10" t="s">
        <v>27</v>
      </c>
      <c r="C12" s="11" t="s">
        <v>19</v>
      </c>
      <c r="D12" s="19">
        <v>1336.0</v>
      </c>
      <c r="E12" s="18">
        <v>143.0</v>
      </c>
      <c r="F12" s="18">
        <v>196.0</v>
      </c>
      <c r="G12" s="18">
        <v>373.0</v>
      </c>
      <c r="H12" s="18">
        <v>253.0</v>
      </c>
      <c r="I12" s="29"/>
      <c r="J12" s="30">
        <f t="shared" ref="J12:J25" si="8">SUM(E12:I12)</f>
        <v>965</v>
      </c>
      <c r="K12" s="15">
        <f t="shared" si="2"/>
        <v>0.7223053892</v>
      </c>
      <c r="L12" s="16">
        <f t="shared" ref="L12:L25" si="9">J12/O12*N12</f>
        <v>965</v>
      </c>
      <c r="M12" s="59">
        <f t="shared" ref="M12:M25" si="10">L12/D12</f>
        <v>0.7223053892</v>
      </c>
      <c r="N12" s="18">
        <v>19.0</v>
      </c>
      <c r="O12" s="18">
        <v>19.0</v>
      </c>
      <c r="P12" s="20" t="s">
        <v>130</v>
      </c>
      <c r="Q12" s="10" t="s">
        <v>27</v>
      </c>
      <c r="R12" s="91">
        <v>0.7324101796407185</v>
      </c>
    </row>
    <row r="13">
      <c r="A13" s="10">
        <v>15.0</v>
      </c>
      <c r="B13" s="10" t="s">
        <v>29</v>
      </c>
      <c r="C13" s="11" t="s">
        <v>19</v>
      </c>
      <c r="D13" s="19">
        <v>6.0187E7</v>
      </c>
      <c r="E13" s="19">
        <v>5622000.0</v>
      </c>
      <c r="F13" s="12">
        <v>1.2855E7</v>
      </c>
      <c r="G13" s="12">
        <v>1.8731E7</v>
      </c>
      <c r="H13" s="12">
        <v>1.258E7</v>
      </c>
      <c r="I13" s="19">
        <v>1291000.0</v>
      </c>
      <c r="J13" s="30">
        <f t="shared" si="8"/>
        <v>51079000</v>
      </c>
      <c r="K13" s="15">
        <f t="shared" si="2"/>
        <v>0.8486716401</v>
      </c>
      <c r="L13" s="16">
        <f t="shared" si="9"/>
        <v>51079000</v>
      </c>
      <c r="M13" s="59">
        <f t="shared" si="10"/>
        <v>0.8486716401</v>
      </c>
      <c r="N13" s="18">
        <v>19.0</v>
      </c>
      <c r="O13" s="18">
        <v>19.0</v>
      </c>
      <c r="P13" s="20" t="s">
        <v>130</v>
      </c>
      <c r="Q13" s="10" t="s">
        <v>29</v>
      </c>
      <c r="R13" s="91">
        <v>0.9301500519459449</v>
      </c>
    </row>
    <row r="14">
      <c r="A14" s="10">
        <v>35.0</v>
      </c>
      <c r="B14" s="10" t="s">
        <v>31</v>
      </c>
      <c r="C14" s="11" t="s">
        <v>19</v>
      </c>
      <c r="D14" s="12">
        <v>2.234392671E8</v>
      </c>
      <c r="E14" s="19">
        <v>5.3483122E7</v>
      </c>
      <c r="F14" s="19">
        <v>7.2366592E7</v>
      </c>
      <c r="G14" s="19">
        <v>6.1390107E7</v>
      </c>
      <c r="H14" s="19">
        <v>5.5650365E7</v>
      </c>
      <c r="I14" s="19">
        <v>3.3737113E7</v>
      </c>
      <c r="J14" s="30">
        <f t="shared" si="8"/>
        <v>276627299</v>
      </c>
      <c r="K14" s="15">
        <f t="shared" si="2"/>
        <v>1.238042456</v>
      </c>
      <c r="L14" s="16">
        <f t="shared" si="9"/>
        <v>276627299</v>
      </c>
      <c r="M14" s="59">
        <f t="shared" si="10"/>
        <v>1.238042456</v>
      </c>
      <c r="N14" s="18">
        <v>19.0</v>
      </c>
      <c r="O14" s="18">
        <v>19.0</v>
      </c>
      <c r="P14" s="20" t="s">
        <v>131</v>
      </c>
      <c r="Q14" s="10" t="s">
        <v>31</v>
      </c>
      <c r="R14" s="91">
        <v>1.1790382210755113</v>
      </c>
    </row>
    <row r="15" ht="17.25" customHeight="1">
      <c r="A15" s="10">
        <v>102.0</v>
      </c>
      <c r="B15" s="11" t="s">
        <v>32</v>
      </c>
      <c r="C15" s="11" t="s">
        <v>19</v>
      </c>
      <c r="D15" s="19">
        <v>18946.0</v>
      </c>
      <c r="E15" s="18">
        <v>4483.0</v>
      </c>
      <c r="F15" s="60">
        <f>2994</f>
        <v>2994</v>
      </c>
      <c r="G15" s="60">
        <f>692+744+1836</f>
        <v>3272</v>
      </c>
      <c r="H15" s="18">
        <v>2855.0</v>
      </c>
      <c r="I15" s="18"/>
      <c r="J15" s="30">
        <f t="shared" si="8"/>
        <v>13604</v>
      </c>
      <c r="K15" s="15">
        <f t="shared" si="2"/>
        <v>0.7180407474</v>
      </c>
      <c r="L15" s="16">
        <f t="shared" si="9"/>
        <v>13604</v>
      </c>
      <c r="M15" s="59">
        <f t="shared" si="10"/>
        <v>0.7180407474</v>
      </c>
      <c r="N15" s="18">
        <v>19.0</v>
      </c>
      <c r="O15" s="18">
        <v>19.0</v>
      </c>
      <c r="P15" s="20" t="s">
        <v>129</v>
      </c>
      <c r="Q15" s="11" t="s">
        <v>32</v>
      </c>
      <c r="R15" s="91">
        <v>0.6367218489511857</v>
      </c>
    </row>
    <row r="16">
      <c r="A16" s="10">
        <v>5.0</v>
      </c>
      <c r="B16" s="10" t="s">
        <v>117</v>
      </c>
      <c r="C16" s="11" t="s">
        <v>19</v>
      </c>
      <c r="D16" s="19">
        <v>1320.0</v>
      </c>
      <c r="E16" s="62">
        <v>348.0</v>
      </c>
      <c r="F16" s="63">
        <v>186.0</v>
      </c>
      <c r="G16" s="63">
        <f>33+47+49+75</f>
        <v>204</v>
      </c>
      <c r="H16" s="18">
        <v>226.0</v>
      </c>
      <c r="I16" s="18"/>
      <c r="J16" s="45">
        <f t="shared" si="8"/>
        <v>964</v>
      </c>
      <c r="K16" s="15">
        <f t="shared" si="2"/>
        <v>0.7303030303</v>
      </c>
      <c r="L16" s="16">
        <f t="shared" si="9"/>
        <v>964</v>
      </c>
      <c r="M16" s="59">
        <f t="shared" si="10"/>
        <v>0.7303030303</v>
      </c>
      <c r="N16" s="18">
        <v>19.0</v>
      </c>
      <c r="O16" s="18">
        <f t="shared" ref="O16:P16" si="11">O15</f>
        <v>19</v>
      </c>
      <c r="P16" s="68" t="str">
        <f t="shared" si="11"/>
        <v>as of August 29, 2025</v>
      </c>
      <c r="Q16" s="10" t="s">
        <v>117</v>
      </c>
      <c r="R16" s="91">
        <v>0.7319613502321497</v>
      </c>
    </row>
    <row r="17">
      <c r="A17" s="10">
        <v>8.0</v>
      </c>
      <c r="B17" s="10" t="s">
        <v>118</v>
      </c>
      <c r="C17" s="10" t="s">
        <v>19</v>
      </c>
      <c r="D17" s="19">
        <v>1924.0</v>
      </c>
      <c r="E17" s="62">
        <v>403.0</v>
      </c>
      <c r="F17" s="63">
        <v>225.0</v>
      </c>
      <c r="G17" s="63">
        <f>44+53+159</f>
        <v>256</v>
      </c>
      <c r="H17" s="18">
        <v>296.0</v>
      </c>
      <c r="I17" s="18"/>
      <c r="J17" s="45">
        <f t="shared" si="8"/>
        <v>1180</v>
      </c>
      <c r="K17" s="15">
        <f t="shared" si="2"/>
        <v>0.6133056133</v>
      </c>
      <c r="L17" s="16">
        <f t="shared" si="9"/>
        <v>1180</v>
      </c>
      <c r="M17" s="59">
        <f t="shared" si="10"/>
        <v>0.6133056133</v>
      </c>
      <c r="N17" s="18">
        <v>19.0</v>
      </c>
      <c r="O17" s="18">
        <f t="shared" ref="O17:P17" si="12">O16</f>
        <v>19</v>
      </c>
      <c r="P17" s="68" t="str">
        <f t="shared" si="12"/>
        <v>as of August 29, 2025</v>
      </c>
      <c r="Q17" s="10" t="s">
        <v>118</v>
      </c>
      <c r="R17" s="91">
        <v>0.550735646889493</v>
      </c>
    </row>
    <row r="18">
      <c r="A18" s="10">
        <v>39.0</v>
      </c>
      <c r="B18" s="11" t="s">
        <v>35</v>
      </c>
      <c r="C18" s="11" t="s">
        <v>19</v>
      </c>
      <c r="D18" s="19">
        <v>4.9686E8</v>
      </c>
      <c r="E18" s="80">
        <f>42814000+72727250+41665000+46857500+45035000+44514500</f>
        <v>293613250</v>
      </c>
      <c r="F18" s="82">
        <f>24643000+56569000+45234000+44002420+45899500+39768000+34581007</f>
        <v>290696927</v>
      </c>
      <c r="G18" s="82">
        <f>45991900+37555000+46898000+46221000</f>
        <v>176665900</v>
      </c>
      <c r="H18" s="19">
        <f>51905000+43697500+46300000+58900000</f>
        <v>200802500</v>
      </c>
      <c r="I18" s="19"/>
      <c r="J18" s="30">
        <f t="shared" si="8"/>
        <v>961778577</v>
      </c>
      <c r="K18" s="15">
        <f t="shared" si="2"/>
        <v>1.935713434</v>
      </c>
      <c r="L18" s="16">
        <f t="shared" si="9"/>
        <v>961778577</v>
      </c>
      <c r="M18" s="59">
        <f t="shared" si="10"/>
        <v>1.935713434</v>
      </c>
      <c r="N18" s="18">
        <v>21.0</v>
      </c>
      <c r="O18" s="18">
        <v>21.0</v>
      </c>
      <c r="P18" s="20" t="s">
        <v>129</v>
      </c>
      <c r="Q18" s="11" t="s">
        <v>35</v>
      </c>
      <c r="R18" s="91">
        <v>1.8746412426035501</v>
      </c>
    </row>
    <row r="19">
      <c r="A19" s="10">
        <v>11.0</v>
      </c>
      <c r="B19" s="11" t="s">
        <v>37</v>
      </c>
      <c r="C19" s="11" t="s">
        <v>19</v>
      </c>
      <c r="D19" s="12">
        <v>1650.0</v>
      </c>
      <c r="E19" s="80">
        <f>38+48+56+50+57+52+47</f>
        <v>348</v>
      </c>
      <c r="F19" s="81">
        <f>44+49+48+41+33+62</f>
        <v>277</v>
      </c>
      <c r="G19" s="82">
        <f>34+40+45+32</f>
        <v>151</v>
      </c>
      <c r="H19" s="34">
        <f>48+32+40+30</f>
        <v>150</v>
      </c>
      <c r="I19" s="34"/>
      <c r="J19" s="30">
        <f t="shared" si="8"/>
        <v>926</v>
      </c>
      <c r="K19" s="15">
        <f t="shared" si="2"/>
        <v>0.5612121212</v>
      </c>
      <c r="L19" s="16">
        <f t="shared" si="9"/>
        <v>926</v>
      </c>
      <c r="M19" s="59">
        <f t="shared" si="10"/>
        <v>0.5612121212</v>
      </c>
      <c r="N19" s="18">
        <f t="shared" ref="N19:O19" si="13">N18</f>
        <v>21</v>
      </c>
      <c r="O19" s="18">
        <f t="shared" si="13"/>
        <v>21</v>
      </c>
      <c r="P19" s="61" t="s">
        <v>132</v>
      </c>
      <c r="Q19" s="11" t="s">
        <v>37</v>
      </c>
      <c r="R19" s="91">
        <v>0.5930909090909091</v>
      </c>
    </row>
    <row r="20">
      <c r="A20" s="10">
        <v>5.0</v>
      </c>
      <c r="B20" s="11" t="s">
        <v>38</v>
      </c>
      <c r="C20" s="11" t="s">
        <v>19</v>
      </c>
      <c r="D20" s="12">
        <v>2750.0</v>
      </c>
      <c r="E20" s="80">
        <f>96+122+124+128+118+114+85</f>
        <v>787</v>
      </c>
      <c r="F20" s="89">
        <f>76+80+134+133+86+103</f>
        <v>612</v>
      </c>
      <c r="G20" s="90">
        <f>80+80+126+122</f>
        <v>408</v>
      </c>
      <c r="H20" s="29">
        <f>151+139+143+146</f>
        <v>579</v>
      </c>
      <c r="I20" s="29"/>
      <c r="J20" s="30">
        <f t="shared" si="8"/>
        <v>2386</v>
      </c>
      <c r="K20" s="15">
        <f t="shared" si="2"/>
        <v>0.8676363636</v>
      </c>
      <c r="L20" s="16">
        <f t="shared" si="9"/>
        <v>2386</v>
      </c>
      <c r="M20" s="59">
        <f t="shared" si="10"/>
        <v>0.8676363636</v>
      </c>
      <c r="N20" s="18">
        <f t="shared" ref="N20:P20" si="14">N19</f>
        <v>21</v>
      </c>
      <c r="O20" s="18">
        <f t="shared" si="14"/>
        <v>21</v>
      </c>
      <c r="P20" s="61" t="str">
        <f t="shared" si="14"/>
        <v>as of August 29, 2025 - FINAL</v>
      </c>
      <c r="Q20" s="11" t="s">
        <v>38</v>
      </c>
      <c r="R20" s="91">
        <v>0.7936727272727272</v>
      </c>
    </row>
    <row r="21">
      <c r="A21" s="10">
        <v>25.0</v>
      </c>
      <c r="B21" s="10" t="s">
        <v>39</v>
      </c>
      <c r="C21" s="11" t="s">
        <v>19</v>
      </c>
      <c r="D21" s="12">
        <v>5500.0</v>
      </c>
      <c r="E21" s="19">
        <f>168+208+262+193+170+146+201</f>
        <v>1348</v>
      </c>
      <c r="F21" s="29">
        <f>239+231+244+188+142+160</f>
        <v>1204</v>
      </c>
      <c r="G21" s="19">
        <f>190+178+217+186</f>
        <v>771</v>
      </c>
      <c r="H21" s="29">
        <f>202+162+199+197</f>
        <v>760</v>
      </c>
      <c r="I21" s="29"/>
      <c r="J21" s="30">
        <f t="shared" si="8"/>
        <v>4083</v>
      </c>
      <c r="K21" s="15">
        <f t="shared" si="2"/>
        <v>0.7423636364</v>
      </c>
      <c r="L21" s="16">
        <f t="shared" si="9"/>
        <v>4083</v>
      </c>
      <c r="M21" s="59">
        <f t="shared" si="10"/>
        <v>0.7423636364</v>
      </c>
      <c r="N21" s="18">
        <f t="shared" ref="N21:P21" si="15">N20</f>
        <v>21</v>
      </c>
      <c r="O21" s="18">
        <f t="shared" si="15"/>
        <v>21</v>
      </c>
      <c r="P21" s="61" t="str">
        <f t="shared" si="15"/>
        <v>as of August 29, 2025 - FINAL</v>
      </c>
      <c r="Q21" s="10" t="s">
        <v>39</v>
      </c>
      <c r="R21" s="91">
        <v>0.8176</v>
      </c>
    </row>
    <row r="22">
      <c r="A22" s="10">
        <v>15.0</v>
      </c>
      <c r="B22" s="10" t="s">
        <v>40</v>
      </c>
      <c r="C22" s="11" t="s">
        <v>19</v>
      </c>
      <c r="D22" s="12">
        <v>160.0</v>
      </c>
      <c r="E22" s="19">
        <v>6.0</v>
      </c>
      <c r="F22" s="29">
        <v>48.0</v>
      </c>
      <c r="G22" s="29">
        <v>60.0</v>
      </c>
      <c r="H22" s="29">
        <v>24.0</v>
      </c>
      <c r="I22" s="29">
        <v>39.0</v>
      </c>
      <c r="J22" s="30">
        <f t="shared" si="8"/>
        <v>177</v>
      </c>
      <c r="K22" s="15">
        <f t="shared" si="2"/>
        <v>1.10625</v>
      </c>
      <c r="L22" s="16">
        <f t="shared" si="9"/>
        <v>177</v>
      </c>
      <c r="M22" s="59">
        <f t="shared" si="10"/>
        <v>1.10625</v>
      </c>
      <c r="N22" s="18">
        <v>20.0</v>
      </c>
      <c r="O22" s="18">
        <v>20.0</v>
      </c>
      <c r="P22" s="20" t="s">
        <v>132</v>
      </c>
      <c r="Q22" s="10" t="s">
        <v>40</v>
      </c>
      <c r="R22" s="91">
        <v>0.7015384615384617</v>
      </c>
    </row>
    <row r="23">
      <c r="A23" s="10">
        <v>21.0</v>
      </c>
      <c r="B23" s="10" t="s">
        <v>73</v>
      </c>
      <c r="C23" s="11" t="s">
        <v>19</v>
      </c>
      <c r="D23" s="12">
        <v>2394.0</v>
      </c>
      <c r="E23" s="19">
        <v>113.0</v>
      </c>
      <c r="F23" s="29">
        <v>373.0</v>
      </c>
      <c r="G23" s="29">
        <v>991.0</v>
      </c>
      <c r="H23" s="32">
        <v>823.0</v>
      </c>
      <c r="I23" s="29">
        <v>561.0</v>
      </c>
      <c r="J23" s="30">
        <f t="shared" si="8"/>
        <v>2861</v>
      </c>
      <c r="K23" s="15">
        <f t="shared" si="2"/>
        <v>1.195071011</v>
      </c>
      <c r="L23" s="16">
        <f t="shared" si="9"/>
        <v>2861</v>
      </c>
      <c r="M23" s="59">
        <f t="shared" si="10"/>
        <v>1.195071011</v>
      </c>
      <c r="N23" s="18">
        <v>24.0</v>
      </c>
      <c r="O23" s="18">
        <v>24.0</v>
      </c>
      <c r="P23" s="20" t="s">
        <v>133</v>
      </c>
      <c r="Q23" s="10" t="s">
        <v>73</v>
      </c>
      <c r="R23" s="91">
        <v>1.2034849027330232</v>
      </c>
    </row>
    <row r="24">
      <c r="A24" s="10">
        <v>5.0</v>
      </c>
      <c r="B24" s="10" t="s">
        <v>134</v>
      </c>
      <c r="C24" s="11" t="s">
        <v>19</v>
      </c>
      <c r="D24" s="12">
        <v>4.085E7</v>
      </c>
      <c r="E24" s="19">
        <v>1548250.0</v>
      </c>
      <c r="F24" s="12">
        <v>1.036387933E7</v>
      </c>
      <c r="G24" s="12">
        <v>9658950.0</v>
      </c>
      <c r="H24" s="12">
        <v>8157100.0</v>
      </c>
      <c r="I24" s="12">
        <v>8981600.0</v>
      </c>
      <c r="J24" s="30">
        <f t="shared" si="8"/>
        <v>38709779.33</v>
      </c>
      <c r="K24" s="15">
        <f t="shared" si="2"/>
        <v>0.9476078171</v>
      </c>
      <c r="L24" s="16">
        <f t="shared" si="9"/>
        <v>38709779.33</v>
      </c>
      <c r="M24" s="59">
        <f t="shared" si="10"/>
        <v>0.9476078171</v>
      </c>
      <c r="N24" s="18">
        <v>20.0</v>
      </c>
      <c r="O24" s="18">
        <v>20.0</v>
      </c>
      <c r="P24" s="20" t="s">
        <v>132</v>
      </c>
      <c r="Q24" s="10" t="s">
        <v>134</v>
      </c>
      <c r="R24" s="91">
        <v>0.8775023371218743</v>
      </c>
    </row>
    <row r="25">
      <c r="A25" s="10">
        <v>1.0</v>
      </c>
      <c r="B25" s="10" t="s">
        <v>43</v>
      </c>
      <c r="C25" s="11" t="s">
        <v>19</v>
      </c>
      <c r="D25" s="12">
        <v>40.0</v>
      </c>
      <c r="E25" s="12">
        <v>3.0</v>
      </c>
      <c r="F25" s="12">
        <v>21.0</v>
      </c>
      <c r="G25" s="12">
        <v>12.0</v>
      </c>
      <c r="H25" s="12">
        <v>11.0</v>
      </c>
      <c r="I25" s="12">
        <v>5.0</v>
      </c>
      <c r="J25" s="14">
        <f t="shared" si="8"/>
        <v>52</v>
      </c>
      <c r="K25" s="15">
        <f t="shared" si="2"/>
        <v>1.3</v>
      </c>
      <c r="L25" s="16">
        <f t="shared" si="9"/>
        <v>52</v>
      </c>
      <c r="M25" s="59">
        <f t="shared" si="10"/>
        <v>1.3</v>
      </c>
      <c r="N25" s="18">
        <v>21.0</v>
      </c>
      <c r="O25" s="18">
        <v>21.0</v>
      </c>
      <c r="P25" s="20" t="s">
        <v>132</v>
      </c>
      <c r="Q25" s="10" t="s">
        <v>43</v>
      </c>
      <c r="R25" s="91">
        <v>1.4285714285714286</v>
      </c>
    </row>
    <row r="26">
      <c r="A26" s="10">
        <v>45.0</v>
      </c>
      <c r="B26" s="10" t="s">
        <v>44</v>
      </c>
      <c r="C26" s="11" t="s">
        <v>19</v>
      </c>
      <c r="D26" s="21">
        <v>0.85</v>
      </c>
      <c r="E26" s="21">
        <v>0.778</v>
      </c>
      <c r="F26" s="24">
        <v>0.91</v>
      </c>
      <c r="G26" s="24">
        <v>0.85</v>
      </c>
      <c r="H26" s="24">
        <v>0.89</v>
      </c>
      <c r="I26" s="24">
        <v>0.908</v>
      </c>
      <c r="J26" s="57">
        <f>AVERAGE(E26:I26)</f>
        <v>0.8672</v>
      </c>
      <c r="K26" s="15">
        <f t="shared" si="2"/>
        <v>1.020235294</v>
      </c>
      <c r="L26" s="15">
        <f t="shared" ref="L26:M26" si="16">J26</f>
        <v>0.8672</v>
      </c>
      <c r="M26" s="59">
        <f t="shared" si="16"/>
        <v>1.020235294</v>
      </c>
      <c r="N26" s="18">
        <v>31.0</v>
      </c>
      <c r="O26" s="60">
        <v>31.0</v>
      </c>
      <c r="P26" s="20" t="s">
        <v>135</v>
      </c>
      <c r="Q26" s="10" t="s">
        <v>44</v>
      </c>
      <c r="R26" s="91">
        <v>0.9882352941176471</v>
      </c>
    </row>
    <row r="27">
      <c r="A27" s="10">
        <v>66.0</v>
      </c>
      <c r="B27" s="10" t="s">
        <v>120</v>
      </c>
      <c r="C27" s="10" t="s">
        <v>121</v>
      </c>
      <c r="D27" s="21">
        <v>0.85</v>
      </c>
      <c r="E27" s="21">
        <v>0.6905</v>
      </c>
      <c r="F27" s="24">
        <v>0.6573</v>
      </c>
      <c r="G27" s="24">
        <v>0.7797</v>
      </c>
      <c r="H27" s="24">
        <v>0.7247</v>
      </c>
      <c r="I27" s="24"/>
      <c r="J27" s="21">
        <v>0.7131</v>
      </c>
      <c r="K27" s="15">
        <f t="shared" ref="K27:L27" si="17">J27</f>
        <v>0.7131</v>
      </c>
      <c r="L27" s="22">
        <f t="shared" si="17"/>
        <v>0.7131</v>
      </c>
      <c r="M27" s="59">
        <f>K27</f>
        <v>0.7131</v>
      </c>
      <c r="N27" s="62">
        <v>23.0</v>
      </c>
      <c r="O27" s="83">
        <v>8.0</v>
      </c>
      <c r="P27" s="20" t="s">
        <v>136</v>
      </c>
      <c r="Q27" s="10" t="s">
        <v>120</v>
      </c>
      <c r="R27" s="91">
        <v>0.8705882352941177</v>
      </c>
    </row>
    <row r="28">
      <c r="A28" s="35"/>
      <c r="B28" s="35"/>
      <c r="C28" s="35"/>
      <c r="D28" s="36"/>
      <c r="E28" s="37"/>
      <c r="F28" s="38"/>
      <c r="G28" s="38"/>
      <c r="H28" s="36"/>
      <c r="I28" s="38"/>
      <c r="J28" s="37"/>
      <c r="K28" s="39"/>
      <c r="L28" s="40"/>
      <c r="M28" s="41"/>
      <c r="N28" s="38"/>
      <c r="O28" s="38"/>
      <c r="R28" s="91"/>
    </row>
    <row r="29" ht="15.0" customHeight="1">
      <c r="A29" s="1" t="s">
        <v>0</v>
      </c>
      <c r="B29" s="42" t="s">
        <v>137</v>
      </c>
    </row>
    <row r="30" ht="10.5" customHeight="1">
      <c r="A30" s="3"/>
    </row>
    <row r="31">
      <c r="A31" s="3"/>
    </row>
    <row r="32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>
      <c r="A33" s="5" t="s">
        <v>2</v>
      </c>
      <c r="B33" s="5" t="s">
        <v>3</v>
      </c>
      <c r="C33" s="5" t="s">
        <v>4</v>
      </c>
      <c r="D33" s="6" t="s">
        <v>5</v>
      </c>
      <c r="E33" s="7" t="s">
        <v>6</v>
      </c>
      <c r="F33" s="4"/>
      <c r="G33" s="4"/>
      <c r="H33" s="4"/>
      <c r="I33" s="8"/>
      <c r="J33" s="6" t="s">
        <v>7</v>
      </c>
      <c r="K33" s="6" t="s">
        <v>8</v>
      </c>
      <c r="L33" s="6" t="s">
        <v>9</v>
      </c>
      <c r="M33" s="6" t="s">
        <v>10</v>
      </c>
      <c r="N33" s="6" t="s">
        <v>11</v>
      </c>
      <c r="O33" s="6" t="s">
        <v>12</v>
      </c>
    </row>
    <row r="34">
      <c r="A34" s="8"/>
      <c r="B34" s="8"/>
      <c r="C34" s="8"/>
      <c r="D34" s="8"/>
      <c r="E34" s="9" t="s">
        <v>13</v>
      </c>
      <c r="F34" s="9" t="s">
        <v>14</v>
      </c>
      <c r="G34" s="9" t="s">
        <v>15</v>
      </c>
      <c r="H34" s="9" t="s">
        <v>16</v>
      </c>
      <c r="I34" s="9" t="s">
        <v>17</v>
      </c>
      <c r="J34" s="8"/>
      <c r="K34" s="8"/>
      <c r="L34" s="8"/>
      <c r="M34" s="8"/>
      <c r="N34" s="8"/>
      <c r="O34" s="8"/>
    </row>
    <row r="35">
      <c r="A35" s="10">
        <v>100.0</v>
      </c>
      <c r="B35" s="11" t="s">
        <v>18</v>
      </c>
      <c r="C35" s="11" t="s">
        <v>19</v>
      </c>
      <c r="D35" s="19">
        <v>9.025E8</v>
      </c>
      <c r="E35" s="12">
        <v>1.55361461E8</v>
      </c>
      <c r="F35" s="12">
        <f>56841605.78+98986870.22</f>
        <v>155828476</v>
      </c>
      <c r="G35" s="12">
        <v>1.51677545E8</v>
      </c>
      <c r="H35" s="13">
        <f>344840785+68226629</f>
        <v>413067414</v>
      </c>
      <c r="I35" s="13"/>
      <c r="J35" s="14">
        <f t="shared" ref="J35:J37" si="18">SUM(E35:I35)</f>
        <v>875934896</v>
      </c>
      <c r="K35" s="15">
        <f t="shared" ref="K35:K38" si="19">J35/D35</f>
        <v>0.9705649817</v>
      </c>
      <c r="L35" s="16">
        <f t="shared" ref="L35:L37" si="20">J35/O35*N35</f>
        <v>875934896</v>
      </c>
      <c r="M35" s="59">
        <f t="shared" ref="M35:M37" si="21">L35/D35</f>
        <v>0.9705649817</v>
      </c>
      <c r="N35" s="18">
        <v>19.0</v>
      </c>
      <c r="O35" s="19">
        <v>19.0</v>
      </c>
      <c r="P35" s="20" t="s">
        <v>138</v>
      </c>
    </row>
    <row r="36">
      <c r="A36" s="10">
        <v>6.0</v>
      </c>
      <c r="B36" s="11" t="s">
        <v>21</v>
      </c>
      <c r="C36" s="11" t="s">
        <v>19</v>
      </c>
      <c r="D36" s="19">
        <v>7.2E7</v>
      </c>
      <c r="E36" s="12">
        <v>2.8992901E7</v>
      </c>
      <c r="F36" s="12">
        <f>7272338.36+9151078.64</f>
        <v>16423417</v>
      </c>
      <c r="G36" s="12">
        <v>8738110.0</v>
      </c>
      <c r="H36" s="13">
        <f>20947288+1501665</f>
        <v>22448953</v>
      </c>
      <c r="I36" s="12"/>
      <c r="J36" s="14">
        <f t="shared" si="18"/>
        <v>76603381</v>
      </c>
      <c r="K36" s="15">
        <f t="shared" si="19"/>
        <v>1.063935847</v>
      </c>
      <c r="L36" s="16">
        <f t="shared" si="20"/>
        <v>76603381</v>
      </c>
      <c r="M36" s="59">
        <f t="shared" si="21"/>
        <v>1.063935847</v>
      </c>
      <c r="N36" s="18">
        <v>19.0</v>
      </c>
      <c r="O36" s="19">
        <v>19.0</v>
      </c>
      <c r="P36" s="20" t="s">
        <v>139</v>
      </c>
    </row>
    <row r="37">
      <c r="A37" s="10">
        <v>64.0</v>
      </c>
      <c r="B37" s="10" t="s">
        <v>22</v>
      </c>
      <c r="C37" s="11" t="s">
        <v>19</v>
      </c>
      <c r="D37" s="19">
        <v>3.0E8</v>
      </c>
      <c r="E37" s="12">
        <v>6.9403999E7</v>
      </c>
      <c r="F37" s="12">
        <v>8.2788E7</v>
      </c>
      <c r="G37" s="12">
        <v>4.5639783E7</v>
      </c>
      <c r="H37" s="12">
        <v>5.3145E7</v>
      </c>
      <c r="I37" s="12"/>
      <c r="J37" s="14">
        <f t="shared" si="18"/>
        <v>250976782</v>
      </c>
      <c r="K37" s="15">
        <f t="shared" si="19"/>
        <v>0.8365892733</v>
      </c>
      <c r="L37" s="16">
        <f t="shared" si="20"/>
        <v>250976782</v>
      </c>
      <c r="M37" s="59">
        <f t="shared" si="21"/>
        <v>0.8365892733</v>
      </c>
      <c r="N37" s="18">
        <v>19.0</v>
      </c>
      <c r="O37" s="19">
        <v>19.0</v>
      </c>
      <c r="P37" s="20" t="s">
        <v>132</v>
      </c>
    </row>
    <row r="38">
      <c r="A38" s="10">
        <v>2.0</v>
      </c>
      <c r="B38" s="10" t="s">
        <v>24</v>
      </c>
      <c r="C38" s="10" t="s">
        <v>68</v>
      </c>
      <c r="D38" s="21">
        <v>1.0</v>
      </c>
      <c r="E38" s="21">
        <v>1.4</v>
      </c>
      <c r="F38" s="21">
        <v>1.4</v>
      </c>
      <c r="G38" s="21">
        <v>1.4</v>
      </c>
      <c r="H38" s="21">
        <v>1.36</v>
      </c>
      <c r="I38" s="21"/>
      <c r="J38" s="57">
        <f t="shared" ref="J38:J39" si="22">H38</f>
        <v>1.36</v>
      </c>
      <c r="K38" s="15">
        <f t="shared" si="19"/>
        <v>1.36</v>
      </c>
      <c r="L38" s="58">
        <f>K38</f>
        <v>1.36</v>
      </c>
      <c r="M38" s="59">
        <f t="shared" ref="M38:M39" si="24">K38</f>
        <v>1.36</v>
      </c>
      <c r="N38" s="18">
        <v>19.0</v>
      </c>
      <c r="O38" s="79">
        <v>19.0</v>
      </c>
      <c r="P38" s="20" t="s">
        <v>132</v>
      </c>
    </row>
    <row r="39">
      <c r="A39" s="10">
        <v>10.0</v>
      </c>
      <c r="B39" s="10" t="s">
        <v>25</v>
      </c>
      <c r="C39" s="11" t="s">
        <v>26</v>
      </c>
      <c r="D39" s="21">
        <v>0.8</v>
      </c>
      <c r="E39" s="21">
        <v>0.7986</v>
      </c>
      <c r="F39" s="21">
        <v>0.5714</v>
      </c>
      <c r="G39" s="21">
        <v>0.8906</v>
      </c>
      <c r="H39" s="21">
        <v>1.1574</v>
      </c>
      <c r="I39" s="24"/>
      <c r="J39" s="57">
        <f t="shared" si="22"/>
        <v>1.1574</v>
      </c>
      <c r="K39" s="15">
        <f t="shared" ref="K39:L39" si="23">J39</f>
        <v>1.1574</v>
      </c>
      <c r="L39" s="58">
        <f t="shared" si="23"/>
        <v>1.1574</v>
      </c>
      <c r="M39" s="78">
        <f t="shared" si="24"/>
        <v>1.1574</v>
      </c>
      <c r="N39" s="62">
        <v>19.0</v>
      </c>
      <c r="O39" s="82">
        <v>19.0</v>
      </c>
      <c r="P39" s="20" t="s">
        <v>132</v>
      </c>
    </row>
    <row r="40">
      <c r="A40" s="10">
        <v>26.0</v>
      </c>
      <c r="B40" s="10" t="s">
        <v>27</v>
      </c>
      <c r="C40" s="10" t="s">
        <v>109</v>
      </c>
      <c r="D40" s="19">
        <v>761.0</v>
      </c>
      <c r="E40" s="18">
        <v>158.0</v>
      </c>
      <c r="F40" s="18">
        <v>105.0</v>
      </c>
      <c r="G40" s="18">
        <v>199.0</v>
      </c>
      <c r="H40" s="18">
        <v>115.0</v>
      </c>
      <c r="I40" s="29"/>
      <c r="J40" s="45">
        <f t="shared" ref="J40:J42" si="25">sum(E40:I40)</f>
        <v>577</v>
      </c>
      <c r="K40" s="15">
        <f t="shared" ref="K40:K54" si="26">J40/D40</f>
        <v>0.7582128778</v>
      </c>
      <c r="L40" s="16">
        <f t="shared" ref="L40:L45" si="27">J40/O40*N40</f>
        <v>577</v>
      </c>
      <c r="M40" s="59">
        <f t="shared" ref="M40:M53" si="28">L40/D40</f>
        <v>0.7582128778</v>
      </c>
      <c r="N40" s="62">
        <v>19.0</v>
      </c>
      <c r="O40" s="63">
        <v>19.0</v>
      </c>
      <c r="P40" s="20" t="s">
        <v>140</v>
      </c>
    </row>
    <row r="41">
      <c r="A41" s="10">
        <v>15.0</v>
      </c>
      <c r="B41" s="10" t="s">
        <v>29</v>
      </c>
      <c r="C41" s="10" t="s">
        <v>110</v>
      </c>
      <c r="D41" s="12">
        <v>9800000.0</v>
      </c>
      <c r="E41" s="19">
        <v>512000.0</v>
      </c>
      <c r="F41" s="12">
        <v>1418000.0</v>
      </c>
      <c r="G41" s="19">
        <v>833000.0</v>
      </c>
      <c r="H41" s="19">
        <v>1801000.0</v>
      </c>
      <c r="I41" s="19"/>
      <c r="J41" s="30">
        <f t="shared" si="25"/>
        <v>4564000</v>
      </c>
      <c r="K41" s="15">
        <f t="shared" si="26"/>
        <v>0.4657142857</v>
      </c>
      <c r="L41" s="16">
        <f t="shared" si="27"/>
        <v>4564000</v>
      </c>
      <c r="M41" s="59">
        <f t="shared" si="28"/>
        <v>0.4657142857</v>
      </c>
      <c r="N41" s="62">
        <v>19.0</v>
      </c>
      <c r="O41" s="63">
        <v>19.0</v>
      </c>
      <c r="P41" s="20" t="s">
        <v>141</v>
      </c>
    </row>
    <row r="42">
      <c r="A42" s="10">
        <v>35.0</v>
      </c>
      <c r="B42" s="10" t="s">
        <v>31</v>
      </c>
      <c r="C42" s="10" t="s">
        <v>109</v>
      </c>
      <c r="D42" s="12">
        <f t="shared" ref="D42:I42" si="29">D14</f>
        <v>223439267.1</v>
      </c>
      <c r="E42" s="12">
        <f t="shared" si="29"/>
        <v>53483122</v>
      </c>
      <c r="F42" s="12">
        <f t="shared" si="29"/>
        <v>72366592</v>
      </c>
      <c r="G42" s="12">
        <f t="shared" si="29"/>
        <v>61390107</v>
      </c>
      <c r="H42" s="12">
        <f t="shared" si="29"/>
        <v>55650365</v>
      </c>
      <c r="I42" s="12">
        <f t="shared" si="29"/>
        <v>33737113</v>
      </c>
      <c r="J42" s="14">
        <f t="shared" si="25"/>
        <v>276627299</v>
      </c>
      <c r="K42" s="15">
        <f t="shared" si="26"/>
        <v>1.238042456</v>
      </c>
      <c r="L42" s="16">
        <f t="shared" si="27"/>
        <v>276627299</v>
      </c>
      <c r="M42" s="59">
        <f t="shared" si="28"/>
        <v>1.238042456</v>
      </c>
      <c r="N42" s="70">
        <f t="shared" ref="N42:P42" si="30">N14</f>
        <v>19</v>
      </c>
      <c r="O42" s="82">
        <f t="shared" si="30"/>
        <v>19</v>
      </c>
      <c r="P42" s="93" t="str">
        <f t="shared" si="30"/>
        <v>as of August 30, 2025-FINAL Unofficial</v>
      </c>
    </row>
    <row r="43">
      <c r="A43" s="10">
        <v>102.0</v>
      </c>
      <c r="B43" s="11" t="s">
        <v>32</v>
      </c>
      <c r="C43" s="10" t="s">
        <v>76</v>
      </c>
      <c r="D43" s="19">
        <f t="shared" ref="D43:G43" si="31">D15</f>
        <v>18946</v>
      </c>
      <c r="E43" s="18">
        <f t="shared" si="31"/>
        <v>4483</v>
      </c>
      <c r="F43" s="18">
        <f t="shared" si="31"/>
        <v>2994</v>
      </c>
      <c r="G43" s="18">
        <f t="shared" si="31"/>
        <v>3272</v>
      </c>
      <c r="H43" s="18">
        <v>2852.0</v>
      </c>
      <c r="I43" s="18"/>
      <c r="J43" s="45">
        <f t="shared" ref="J43:J53" si="33">SUM(E43:I43)</f>
        <v>13601</v>
      </c>
      <c r="K43" s="15">
        <f t="shared" si="26"/>
        <v>0.7178824026</v>
      </c>
      <c r="L43" s="16">
        <f t="shared" si="27"/>
        <v>13601</v>
      </c>
      <c r="M43" s="59">
        <f t="shared" si="28"/>
        <v>0.7178824026</v>
      </c>
      <c r="N43" s="62">
        <f t="shared" ref="N43:N50" si="34">N15</f>
        <v>19</v>
      </c>
      <c r="O43" s="63">
        <v>19.0</v>
      </c>
      <c r="P43" s="64" t="s">
        <v>129</v>
      </c>
    </row>
    <row r="44">
      <c r="A44" s="10">
        <v>5.0</v>
      </c>
      <c r="B44" s="10" t="s">
        <v>117</v>
      </c>
      <c r="C44" s="10" t="s">
        <v>76</v>
      </c>
      <c r="D44" s="19">
        <f t="shared" ref="D44:H44" si="32">D16</f>
        <v>1320</v>
      </c>
      <c r="E44" s="18">
        <f t="shared" si="32"/>
        <v>348</v>
      </c>
      <c r="F44" s="18">
        <f t="shared" si="32"/>
        <v>186</v>
      </c>
      <c r="G44" s="18">
        <f t="shared" si="32"/>
        <v>204</v>
      </c>
      <c r="H44" s="18">
        <f t="shared" si="32"/>
        <v>226</v>
      </c>
      <c r="I44" s="18"/>
      <c r="J44" s="45">
        <f t="shared" si="33"/>
        <v>964</v>
      </c>
      <c r="K44" s="15">
        <f t="shared" si="26"/>
        <v>0.7303030303</v>
      </c>
      <c r="L44" s="16">
        <f t="shared" si="27"/>
        <v>964</v>
      </c>
      <c r="M44" s="59">
        <f t="shared" si="28"/>
        <v>0.7303030303</v>
      </c>
      <c r="N44" s="18">
        <f t="shared" si="34"/>
        <v>19</v>
      </c>
      <c r="O44" s="63">
        <f t="shared" ref="O44:P44" si="35">O43</f>
        <v>19</v>
      </c>
      <c r="P44" s="64" t="str">
        <f t="shared" si="35"/>
        <v>as of August 29, 2025</v>
      </c>
    </row>
    <row r="45">
      <c r="A45" s="10">
        <v>8.0</v>
      </c>
      <c r="B45" s="10" t="s">
        <v>118</v>
      </c>
      <c r="C45" s="10" t="s">
        <v>76</v>
      </c>
      <c r="D45" s="19">
        <f t="shared" ref="D45:H45" si="36">D17</f>
        <v>1924</v>
      </c>
      <c r="E45" s="19">
        <f t="shared" si="36"/>
        <v>403</v>
      </c>
      <c r="F45" s="19">
        <f t="shared" si="36"/>
        <v>225</v>
      </c>
      <c r="G45" s="19">
        <f t="shared" si="36"/>
        <v>256</v>
      </c>
      <c r="H45" s="19">
        <f t="shared" si="36"/>
        <v>296</v>
      </c>
      <c r="I45" s="46"/>
      <c r="J45" s="30">
        <f t="shared" si="33"/>
        <v>1180</v>
      </c>
      <c r="K45" s="15">
        <f t="shared" si="26"/>
        <v>0.6133056133</v>
      </c>
      <c r="L45" s="16">
        <f t="shared" si="27"/>
        <v>1180</v>
      </c>
      <c r="M45" s="59">
        <f t="shared" si="28"/>
        <v>0.6133056133</v>
      </c>
      <c r="N45" s="18">
        <f t="shared" si="34"/>
        <v>19</v>
      </c>
      <c r="O45" s="63">
        <f t="shared" ref="O45:P45" si="37">O44</f>
        <v>19</v>
      </c>
      <c r="P45" s="64" t="str">
        <f t="shared" si="37"/>
        <v>as of August 29, 2025</v>
      </c>
    </row>
    <row r="46">
      <c r="A46" s="10">
        <v>39.0</v>
      </c>
      <c r="B46" s="11" t="s">
        <v>35</v>
      </c>
      <c r="C46" s="11" t="s">
        <v>19</v>
      </c>
      <c r="D46" s="19">
        <f t="shared" ref="D46:H46" si="38">D18</f>
        <v>496860000</v>
      </c>
      <c r="E46" s="19">
        <f t="shared" si="38"/>
        <v>293613250</v>
      </c>
      <c r="F46" s="19">
        <f t="shared" si="38"/>
        <v>290696927</v>
      </c>
      <c r="G46" s="19">
        <f t="shared" si="38"/>
        <v>176665900</v>
      </c>
      <c r="H46" s="19">
        <f t="shared" si="38"/>
        <v>200802500</v>
      </c>
      <c r="I46" s="46"/>
      <c r="J46" s="30">
        <f t="shared" si="33"/>
        <v>961778577</v>
      </c>
      <c r="K46" s="15">
        <f t="shared" si="26"/>
        <v>1.935713434</v>
      </c>
      <c r="L46" s="16">
        <f t="shared" ref="L46:L49" si="41">L18</f>
        <v>961778577</v>
      </c>
      <c r="M46" s="59">
        <f t="shared" si="28"/>
        <v>1.935713434</v>
      </c>
      <c r="N46" s="18">
        <f t="shared" si="34"/>
        <v>21</v>
      </c>
      <c r="O46" s="63">
        <f t="shared" ref="O46:P46" si="39">O18</f>
        <v>21</v>
      </c>
      <c r="P46" s="68" t="str">
        <f t="shared" si="39"/>
        <v>as of August 29, 2025</v>
      </c>
    </row>
    <row r="47">
      <c r="A47" s="10">
        <v>11.0</v>
      </c>
      <c r="B47" s="11" t="s">
        <v>37</v>
      </c>
      <c r="C47" s="11" t="s">
        <v>19</v>
      </c>
      <c r="D47" s="19">
        <f t="shared" ref="D47:H47" si="40">D19</f>
        <v>1650</v>
      </c>
      <c r="E47" s="19">
        <f t="shared" si="40"/>
        <v>348</v>
      </c>
      <c r="F47" s="19">
        <f t="shared" si="40"/>
        <v>277</v>
      </c>
      <c r="G47" s="19">
        <f t="shared" si="40"/>
        <v>151</v>
      </c>
      <c r="H47" s="19">
        <f t="shared" si="40"/>
        <v>150</v>
      </c>
      <c r="I47" s="46"/>
      <c r="J47" s="30">
        <f t="shared" si="33"/>
        <v>926</v>
      </c>
      <c r="K47" s="15">
        <f t="shared" si="26"/>
        <v>0.5612121212</v>
      </c>
      <c r="L47" s="16">
        <f t="shared" si="41"/>
        <v>926</v>
      </c>
      <c r="M47" s="59">
        <f t="shared" si="28"/>
        <v>0.5612121212</v>
      </c>
      <c r="N47" s="18">
        <f t="shared" si="34"/>
        <v>21</v>
      </c>
      <c r="O47" s="18">
        <f t="shared" ref="O47:P47" si="42">O19</f>
        <v>21</v>
      </c>
      <c r="P47" s="68" t="str">
        <f t="shared" si="42"/>
        <v>as of August 29, 2025 - FINAL</v>
      </c>
    </row>
    <row r="48">
      <c r="A48" s="10">
        <v>5.0</v>
      </c>
      <c r="B48" s="11" t="s">
        <v>38</v>
      </c>
      <c r="C48" s="11" t="s">
        <v>19</v>
      </c>
      <c r="D48" s="19">
        <f t="shared" ref="D48:H48" si="43">D20</f>
        <v>2750</v>
      </c>
      <c r="E48" s="19">
        <f t="shared" si="43"/>
        <v>787</v>
      </c>
      <c r="F48" s="19">
        <f t="shared" si="43"/>
        <v>612</v>
      </c>
      <c r="G48" s="19">
        <f t="shared" si="43"/>
        <v>408</v>
      </c>
      <c r="H48" s="19">
        <f t="shared" si="43"/>
        <v>579</v>
      </c>
      <c r="I48" s="46"/>
      <c r="J48" s="30">
        <f t="shared" si="33"/>
        <v>2386</v>
      </c>
      <c r="K48" s="15">
        <f t="shared" si="26"/>
        <v>0.8676363636</v>
      </c>
      <c r="L48" s="16">
        <f t="shared" si="41"/>
        <v>2386</v>
      </c>
      <c r="M48" s="59">
        <f t="shared" si="28"/>
        <v>0.8676363636</v>
      </c>
      <c r="N48" s="18">
        <f t="shared" si="34"/>
        <v>21</v>
      </c>
      <c r="O48" s="18">
        <f t="shared" ref="O48:P48" si="44">O20</f>
        <v>21</v>
      </c>
      <c r="P48" s="68" t="str">
        <f t="shared" si="44"/>
        <v>as of August 29, 2025 - FINAL</v>
      </c>
    </row>
    <row r="49">
      <c r="A49" s="10">
        <v>25.0</v>
      </c>
      <c r="B49" s="10" t="s">
        <v>39</v>
      </c>
      <c r="C49" s="11" t="s">
        <v>19</v>
      </c>
      <c r="D49" s="19">
        <f t="shared" ref="D49:H49" si="45">D21</f>
        <v>5500</v>
      </c>
      <c r="E49" s="19">
        <f t="shared" si="45"/>
        <v>1348</v>
      </c>
      <c r="F49" s="19">
        <f t="shared" si="45"/>
        <v>1204</v>
      </c>
      <c r="G49" s="19">
        <f t="shared" si="45"/>
        <v>771</v>
      </c>
      <c r="H49" s="19">
        <f t="shared" si="45"/>
        <v>760</v>
      </c>
      <c r="I49" s="46"/>
      <c r="J49" s="30">
        <f t="shared" si="33"/>
        <v>4083</v>
      </c>
      <c r="K49" s="15">
        <f t="shared" si="26"/>
        <v>0.7423636364</v>
      </c>
      <c r="L49" s="16">
        <f t="shared" si="41"/>
        <v>4083</v>
      </c>
      <c r="M49" s="59">
        <f t="shared" si="28"/>
        <v>0.7423636364</v>
      </c>
      <c r="N49" s="18">
        <f t="shared" si="34"/>
        <v>21</v>
      </c>
      <c r="O49" s="18">
        <f t="shared" ref="O49:P49" si="46">O21</f>
        <v>21</v>
      </c>
      <c r="P49" s="68" t="str">
        <f t="shared" si="46"/>
        <v>as of August 29, 2025 - FINAL</v>
      </c>
    </row>
    <row r="50">
      <c r="A50" s="10">
        <v>15.0</v>
      </c>
      <c r="B50" s="10" t="s">
        <v>77</v>
      </c>
      <c r="C50" s="11" t="s">
        <v>19</v>
      </c>
      <c r="D50" s="12">
        <v>160.0</v>
      </c>
      <c r="E50" s="19">
        <v>6.0</v>
      </c>
      <c r="F50" s="29">
        <v>48.0</v>
      </c>
      <c r="G50" s="29">
        <v>60.0</v>
      </c>
      <c r="H50" s="29">
        <v>24.0</v>
      </c>
      <c r="I50" s="29">
        <v>39.0</v>
      </c>
      <c r="J50" s="30">
        <f t="shared" si="33"/>
        <v>177</v>
      </c>
      <c r="K50" s="15">
        <f t="shared" si="26"/>
        <v>1.10625</v>
      </c>
      <c r="L50" s="16">
        <f t="shared" ref="L50:L53" si="48">J50/O50*N50</f>
        <v>177</v>
      </c>
      <c r="M50" s="59">
        <f t="shared" si="28"/>
        <v>1.10625</v>
      </c>
      <c r="N50" s="18">
        <f t="shared" si="34"/>
        <v>20</v>
      </c>
      <c r="O50" s="18">
        <f t="shared" ref="O50:P50" si="47">O22</f>
        <v>20</v>
      </c>
      <c r="P50" s="86" t="str">
        <f t="shared" si="47"/>
        <v>as of August 29, 2025 - FINAL</v>
      </c>
    </row>
    <row r="51">
      <c r="A51" s="10">
        <v>21.0</v>
      </c>
      <c r="B51" s="10" t="s">
        <v>73</v>
      </c>
      <c r="C51" s="11" t="s">
        <v>19</v>
      </c>
      <c r="D51" s="12">
        <v>1615.0</v>
      </c>
      <c r="E51" s="19">
        <v>286.0</v>
      </c>
      <c r="F51" s="29">
        <v>171.0</v>
      </c>
      <c r="G51" s="29">
        <v>141.0</v>
      </c>
      <c r="H51" s="87">
        <v>276.0</v>
      </c>
      <c r="I51" s="88">
        <v>511.0</v>
      </c>
      <c r="J51" s="30">
        <f t="shared" si="33"/>
        <v>1385</v>
      </c>
      <c r="K51" s="15">
        <f t="shared" si="26"/>
        <v>0.8575851393</v>
      </c>
      <c r="L51" s="16">
        <f t="shared" si="48"/>
        <v>1547.941176</v>
      </c>
      <c r="M51" s="59">
        <f t="shared" si="28"/>
        <v>0.9584775087</v>
      </c>
      <c r="N51" s="18">
        <v>19.0</v>
      </c>
      <c r="O51" s="18">
        <v>17.0</v>
      </c>
      <c r="P51" s="20" t="s">
        <v>142</v>
      </c>
    </row>
    <row r="52">
      <c r="A52" s="10">
        <v>5.0</v>
      </c>
      <c r="B52" s="10" t="s">
        <v>134</v>
      </c>
      <c r="C52" s="11" t="s">
        <v>19</v>
      </c>
      <c r="D52" s="12">
        <v>4.085E7</v>
      </c>
      <c r="E52" s="12">
        <v>3369054.0</v>
      </c>
      <c r="F52" s="12">
        <v>1.147235674E7</v>
      </c>
      <c r="G52" s="12">
        <v>8008259.0</v>
      </c>
      <c r="H52" s="94">
        <v>6972600.74</v>
      </c>
      <c r="I52" s="94">
        <v>6820799.26</v>
      </c>
      <c r="J52" s="14">
        <f t="shared" si="33"/>
        <v>36643069.74</v>
      </c>
      <c r="K52" s="15">
        <f t="shared" si="26"/>
        <v>0.8970151711</v>
      </c>
      <c r="L52" s="95">
        <f t="shared" si="48"/>
        <v>36643069.74</v>
      </c>
      <c r="M52" s="59">
        <f t="shared" si="28"/>
        <v>0.8970151711</v>
      </c>
      <c r="N52" s="18">
        <v>19.0</v>
      </c>
      <c r="O52" s="18">
        <v>19.0</v>
      </c>
      <c r="P52" s="20" t="s">
        <v>143</v>
      </c>
    </row>
    <row r="53">
      <c r="A53" s="10">
        <v>1.0</v>
      </c>
      <c r="B53" s="10" t="s">
        <v>43</v>
      </c>
      <c r="C53" s="11" t="s">
        <v>19</v>
      </c>
      <c r="D53" s="12">
        <v>40.0</v>
      </c>
      <c r="E53" s="12">
        <v>3.0</v>
      </c>
      <c r="F53" s="12">
        <v>21.0</v>
      </c>
      <c r="G53" s="12">
        <v>12.0</v>
      </c>
      <c r="H53" s="12">
        <v>11.0</v>
      </c>
      <c r="I53" s="12">
        <v>5.0</v>
      </c>
      <c r="J53" s="14">
        <f t="shared" si="33"/>
        <v>52</v>
      </c>
      <c r="K53" s="15">
        <f t="shared" si="26"/>
        <v>1.3</v>
      </c>
      <c r="L53" s="16">
        <f t="shared" si="48"/>
        <v>52</v>
      </c>
      <c r="M53" s="59">
        <f t="shared" si="28"/>
        <v>1.3</v>
      </c>
      <c r="N53" s="18">
        <f t="shared" ref="N53:O53" si="49">N25</f>
        <v>21</v>
      </c>
      <c r="O53" s="18">
        <f t="shared" si="49"/>
        <v>21</v>
      </c>
      <c r="P53" s="86" t="str">
        <f>P26</f>
        <v>as of August 31, 2025 - FINAL computation from reports</v>
      </c>
    </row>
    <row r="54">
      <c r="A54" s="10">
        <v>45.0</v>
      </c>
      <c r="B54" s="10" t="s">
        <v>44</v>
      </c>
      <c r="C54" s="11" t="s">
        <v>19</v>
      </c>
      <c r="D54" s="21">
        <v>0.85</v>
      </c>
      <c r="E54" s="21">
        <v>0.778</v>
      </c>
      <c r="F54" s="24">
        <v>0.91</v>
      </c>
      <c r="G54" s="24">
        <v>0.85</v>
      </c>
      <c r="H54" s="24">
        <v>0.89</v>
      </c>
      <c r="I54" s="24">
        <v>0.908</v>
      </c>
      <c r="J54" s="57">
        <f>AVERAGE(E54:I54)</f>
        <v>0.8672</v>
      </c>
      <c r="K54" s="15">
        <f t="shared" si="26"/>
        <v>1.020235294</v>
      </c>
      <c r="L54" s="73">
        <f t="shared" ref="L54:M54" si="50">J54</f>
        <v>0.8672</v>
      </c>
      <c r="M54" s="59">
        <f t="shared" si="50"/>
        <v>1.020235294</v>
      </c>
      <c r="N54" s="18">
        <f t="shared" ref="N54:P54" si="51">N26</f>
        <v>31</v>
      </c>
      <c r="O54" s="18">
        <f t="shared" si="51"/>
        <v>31</v>
      </c>
      <c r="P54" s="86" t="str">
        <f t="shared" si="51"/>
        <v>as of August 31, 2025 - FINAL computation from reports</v>
      </c>
    </row>
    <row r="55">
      <c r="A55" s="10">
        <v>55.0</v>
      </c>
      <c r="B55" s="10" t="s">
        <v>120</v>
      </c>
      <c r="C55" s="10" t="s">
        <v>121</v>
      </c>
      <c r="D55" s="21">
        <f t="shared" ref="D55:J55" si="52">D27</f>
        <v>0.85</v>
      </c>
      <c r="E55" s="23">
        <f t="shared" si="52"/>
        <v>0.6905</v>
      </c>
      <c r="F55" s="23">
        <f t="shared" si="52"/>
        <v>0.6573</v>
      </c>
      <c r="G55" s="23">
        <f t="shared" si="52"/>
        <v>0.7797</v>
      </c>
      <c r="H55" s="23">
        <f t="shared" si="52"/>
        <v>0.7247</v>
      </c>
      <c r="I55" s="23" t="str">
        <f t="shared" si="52"/>
        <v/>
      </c>
      <c r="J55" s="23">
        <f t="shared" si="52"/>
        <v>0.7131</v>
      </c>
      <c r="K55" s="15">
        <f t="shared" ref="K55:L55" si="53">J55</f>
        <v>0.7131</v>
      </c>
      <c r="L55" s="22">
        <f t="shared" si="53"/>
        <v>0.7131</v>
      </c>
      <c r="M55" s="59">
        <f>K55</f>
        <v>0.7131</v>
      </c>
      <c r="N55" s="19">
        <f>N27</f>
        <v>23</v>
      </c>
      <c r="O55" s="19">
        <v>23.0</v>
      </c>
      <c r="P55" s="23" t="str">
        <f>P27</f>
        <v>as of August 31, 2025</v>
      </c>
    </row>
    <row r="56">
      <c r="A56" s="35"/>
      <c r="B56" s="35"/>
      <c r="C56" s="35"/>
      <c r="D56" s="38"/>
      <c r="E56" s="38"/>
      <c r="F56" s="38"/>
      <c r="G56" s="38"/>
      <c r="H56" s="38"/>
      <c r="I56" s="38"/>
      <c r="J56" s="38"/>
      <c r="K56" s="38"/>
      <c r="L56" s="38"/>
      <c r="M56" s="74"/>
      <c r="N56" s="38"/>
      <c r="O56" s="38"/>
    </row>
    <row r="57">
      <c r="A57" s="35"/>
      <c r="B57" s="35"/>
      <c r="C57" s="35"/>
      <c r="D57" s="38"/>
      <c r="E57" s="38"/>
      <c r="F57" s="36"/>
      <c r="G57" s="38"/>
      <c r="H57" s="38"/>
      <c r="I57" s="38"/>
      <c r="J57" s="55"/>
      <c r="K57" s="56"/>
      <c r="L57" s="38"/>
      <c r="M57" s="38"/>
      <c r="N57" s="38"/>
      <c r="O57" s="38"/>
    </row>
    <row r="58">
      <c r="A58" s="35"/>
      <c r="B58" s="35"/>
      <c r="C58" s="35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</row>
    <row r="59">
      <c r="A59" s="35"/>
      <c r="C59" s="35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</row>
    <row r="60">
      <c r="A60" s="35"/>
      <c r="B60" s="35"/>
      <c r="C60" s="35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</row>
    <row r="61">
      <c r="A61" s="35"/>
      <c r="B61" s="35"/>
      <c r="C61" s="35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</row>
    <row r="62">
      <c r="A62" s="35"/>
      <c r="B62" s="35"/>
      <c r="C62" s="35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</row>
    <row r="63">
      <c r="A63" s="35"/>
      <c r="B63" s="35"/>
      <c r="C63" s="35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</row>
    <row r="64">
      <c r="A64" s="35"/>
      <c r="B64" s="35"/>
      <c r="C64" s="35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</row>
    <row r="65">
      <c r="A65" s="35"/>
      <c r="B65" s="35"/>
      <c r="C65" s="35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</row>
    <row r="66">
      <c r="A66" s="35"/>
      <c r="B66" s="35"/>
      <c r="C66" s="35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</row>
    <row r="67">
      <c r="A67" s="35"/>
      <c r="B67" s="35"/>
      <c r="C67" s="35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</row>
    <row r="68">
      <c r="A68" s="35"/>
      <c r="B68" s="35"/>
      <c r="C68" s="35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</row>
    <row r="69">
      <c r="A69" s="35"/>
      <c r="B69" s="35"/>
      <c r="C69" s="35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</row>
    <row r="70">
      <c r="A70" s="35"/>
      <c r="B70" s="35"/>
      <c r="C70" s="35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</row>
    <row r="71">
      <c r="A71" s="35"/>
      <c r="B71" s="35"/>
      <c r="C71" s="35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</row>
    <row r="72">
      <c r="A72" s="35"/>
      <c r="B72" s="35"/>
      <c r="C72" s="35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</row>
    <row r="73">
      <c r="A73" s="35"/>
      <c r="B73" s="35"/>
      <c r="C73" s="35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</row>
    <row r="74">
      <c r="A74" s="35"/>
      <c r="B74" s="35"/>
      <c r="C74" s="35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</row>
    <row r="75">
      <c r="A75" s="35"/>
      <c r="B75" s="35"/>
      <c r="C75" s="35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</row>
    <row r="76">
      <c r="A76" s="35"/>
      <c r="B76" s="35"/>
      <c r="C76" s="35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</row>
    <row r="77">
      <c r="A77" s="35"/>
      <c r="B77" s="35"/>
      <c r="C77" s="35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</row>
    <row r="78">
      <c r="A78" s="35"/>
      <c r="B78" s="35"/>
      <c r="C78" s="35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</row>
    <row r="79">
      <c r="A79" s="35"/>
      <c r="B79" s="35"/>
      <c r="C79" s="35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</row>
    <row r="80">
      <c r="A80" s="35"/>
      <c r="B80" s="35"/>
      <c r="C80" s="35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</row>
    <row r="81">
      <c r="A81" s="35"/>
      <c r="B81" s="35"/>
      <c r="C81" s="35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</row>
    <row r="82">
      <c r="A82" s="35"/>
      <c r="B82" s="35"/>
      <c r="C82" s="35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</row>
    <row r="83">
      <c r="A83" s="35"/>
      <c r="B83" s="35"/>
      <c r="C83" s="35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</row>
    <row r="84">
      <c r="A84" s="35"/>
      <c r="B84" s="35"/>
      <c r="C84" s="35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</row>
    <row r="85">
      <c r="A85" s="35"/>
      <c r="B85" s="35"/>
      <c r="C85" s="35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</row>
    <row r="86">
      <c r="A86" s="35"/>
      <c r="B86" s="35"/>
      <c r="C86" s="35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</row>
    <row r="87">
      <c r="A87" s="35"/>
      <c r="B87" s="35"/>
      <c r="C87" s="35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</row>
    <row r="88">
      <c r="A88" s="35"/>
      <c r="B88" s="35"/>
      <c r="C88" s="35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</row>
    <row r="89">
      <c r="A89" s="35"/>
      <c r="B89" s="35"/>
      <c r="C89" s="35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</row>
    <row r="90">
      <c r="A90" s="35"/>
      <c r="B90" s="35"/>
      <c r="C90" s="35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</row>
    <row r="91">
      <c r="A91" s="35"/>
      <c r="B91" s="35"/>
      <c r="C91" s="35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</row>
    <row r="92">
      <c r="A92" s="35"/>
      <c r="B92" s="35"/>
      <c r="C92" s="35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</row>
    <row r="93">
      <c r="A93" s="35"/>
      <c r="B93" s="35"/>
      <c r="C93" s="35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</row>
    <row r="94">
      <c r="A94" s="35"/>
      <c r="B94" s="35"/>
      <c r="C94" s="35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</row>
    <row r="95">
      <c r="A95" s="35"/>
      <c r="B95" s="35"/>
      <c r="C95" s="35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</row>
    <row r="96">
      <c r="A96" s="35"/>
      <c r="B96" s="35"/>
      <c r="C96" s="35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</row>
    <row r="97">
      <c r="A97" s="35"/>
      <c r="B97" s="35"/>
      <c r="C97" s="35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</row>
    <row r="98">
      <c r="A98" s="35"/>
      <c r="B98" s="35"/>
      <c r="C98" s="35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</row>
    <row r="99">
      <c r="A99" s="35"/>
      <c r="B99" s="35"/>
      <c r="C99" s="35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</row>
    <row r="100">
      <c r="A100" s="35"/>
      <c r="B100" s="35"/>
      <c r="C100" s="35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</row>
    <row r="101">
      <c r="A101" s="35"/>
      <c r="B101" s="35"/>
      <c r="C101" s="35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</row>
    <row r="102">
      <c r="A102" s="35"/>
      <c r="B102" s="35"/>
      <c r="C102" s="35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</row>
    <row r="103">
      <c r="A103" s="35"/>
      <c r="B103" s="35"/>
      <c r="C103" s="35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</row>
    <row r="104">
      <c r="A104" s="35"/>
      <c r="B104" s="35"/>
      <c r="C104" s="35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</row>
    <row r="105">
      <c r="A105" s="35"/>
      <c r="B105" s="35"/>
      <c r="C105" s="35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</row>
    <row r="106">
      <c r="A106" s="35"/>
      <c r="B106" s="35"/>
      <c r="C106" s="35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</row>
    <row r="107">
      <c r="A107" s="35"/>
      <c r="B107" s="35"/>
      <c r="C107" s="35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</row>
    <row r="108">
      <c r="A108" s="35"/>
      <c r="B108" s="35"/>
      <c r="C108" s="35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</row>
    <row r="109">
      <c r="A109" s="35"/>
      <c r="B109" s="35"/>
      <c r="C109" s="35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</row>
    <row r="110">
      <c r="A110" s="35"/>
      <c r="B110" s="35"/>
      <c r="C110" s="35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</row>
    <row r="111">
      <c r="A111" s="35"/>
      <c r="B111" s="35"/>
      <c r="C111" s="35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</row>
    <row r="112">
      <c r="A112" s="35"/>
      <c r="B112" s="35"/>
      <c r="C112" s="35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</row>
    <row r="113">
      <c r="A113" s="35"/>
      <c r="B113" s="35"/>
      <c r="C113" s="35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</row>
    <row r="114">
      <c r="A114" s="35"/>
      <c r="B114" s="35"/>
      <c r="C114" s="35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</row>
    <row r="115">
      <c r="A115" s="35"/>
      <c r="B115" s="35"/>
      <c r="C115" s="35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</row>
    <row r="116">
      <c r="A116" s="35"/>
      <c r="B116" s="35"/>
      <c r="C116" s="35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</row>
    <row r="117">
      <c r="A117" s="35"/>
      <c r="B117" s="35"/>
      <c r="C117" s="35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</row>
    <row r="118">
      <c r="A118" s="35"/>
      <c r="B118" s="35"/>
      <c r="C118" s="35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</row>
    <row r="119">
      <c r="A119" s="35"/>
      <c r="B119" s="35"/>
      <c r="C119" s="35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</row>
    <row r="120">
      <c r="A120" s="35"/>
      <c r="B120" s="35"/>
      <c r="C120" s="35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</row>
    <row r="121">
      <c r="A121" s="35"/>
      <c r="B121" s="35"/>
      <c r="C121" s="35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</row>
    <row r="122">
      <c r="A122" s="35"/>
      <c r="B122" s="35"/>
      <c r="C122" s="35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</row>
    <row r="123">
      <c r="A123" s="35"/>
      <c r="B123" s="35"/>
      <c r="C123" s="35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</row>
    <row r="124">
      <c r="A124" s="35"/>
      <c r="B124" s="35"/>
      <c r="C124" s="35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</row>
    <row r="125">
      <c r="A125" s="35"/>
      <c r="B125" s="35"/>
      <c r="C125" s="35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</row>
    <row r="126">
      <c r="A126" s="35"/>
      <c r="B126" s="35"/>
      <c r="C126" s="35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</row>
    <row r="127">
      <c r="A127" s="35"/>
      <c r="B127" s="35"/>
      <c r="C127" s="35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</row>
    <row r="128">
      <c r="A128" s="35"/>
      <c r="B128" s="35"/>
      <c r="C128" s="35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</row>
    <row r="129">
      <c r="A129" s="35"/>
      <c r="B129" s="35"/>
      <c r="C129" s="35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</row>
    <row r="130">
      <c r="A130" s="35"/>
      <c r="B130" s="35"/>
      <c r="C130" s="35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</row>
    <row r="131">
      <c r="A131" s="35"/>
      <c r="B131" s="35"/>
      <c r="C131" s="35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</row>
    <row r="132">
      <c r="A132" s="35"/>
      <c r="B132" s="35"/>
      <c r="C132" s="35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</row>
    <row r="133">
      <c r="A133" s="35"/>
      <c r="B133" s="35"/>
      <c r="C133" s="35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</row>
    <row r="134">
      <c r="A134" s="35"/>
      <c r="B134" s="35"/>
      <c r="C134" s="35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</row>
    <row r="135">
      <c r="A135" s="35"/>
      <c r="B135" s="35"/>
      <c r="C135" s="35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</row>
    <row r="136">
      <c r="A136" s="35"/>
      <c r="B136" s="35"/>
      <c r="C136" s="35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</row>
    <row r="137">
      <c r="A137" s="35"/>
      <c r="B137" s="35"/>
      <c r="C137" s="35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</row>
    <row r="138">
      <c r="A138" s="35"/>
      <c r="B138" s="35"/>
      <c r="C138" s="35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</row>
    <row r="139">
      <c r="A139" s="35"/>
      <c r="B139" s="35"/>
      <c r="C139" s="35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</row>
    <row r="140">
      <c r="A140" s="35"/>
      <c r="B140" s="35"/>
      <c r="C140" s="35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</row>
    <row r="141">
      <c r="A141" s="35"/>
      <c r="B141" s="35"/>
      <c r="C141" s="35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</row>
    <row r="142">
      <c r="A142" s="35"/>
      <c r="B142" s="35"/>
      <c r="C142" s="35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</row>
    <row r="143">
      <c r="A143" s="35"/>
      <c r="B143" s="35"/>
      <c r="C143" s="35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</row>
    <row r="144">
      <c r="A144" s="35"/>
      <c r="B144" s="35"/>
      <c r="C144" s="35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</row>
    <row r="145">
      <c r="A145" s="35"/>
      <c r="B145" s="35"/>
      <c r="C145" s="35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</row>
    <row r="146">
      <c r="A146" s="35"/>
      <c r="B146" s="35"/>
      <c r="C146" s="35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</row>
    <row r="147">
      <c r="A147" s="35"/>
      <c r="B147" s="35"/>
      <c r="C147" s="35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</row>
    <row r="148">
      <c r="A148" s="35"/>
      <c r="B148" s="35"/>
      <c r="C148" s="35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</row>
    <row r="149">
      <c r="A149" s="35"/>
      <c r="B149" s="35"/>
      <c r="C149" s="35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</row>
    <row r="150">
      <c r="A150" s="35"/>
      <c r="B150" s="35"/>
      <c r="C150" s="35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</row>
    <row r="151">
      <c r="A151" s="35"/>
      <c r="B151" s="35"/>
      <c r="C151" s="35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</row>
    <row r="152">
      <c r="A152" s="35"/>
      <c r="B152" s="35"/>
      <c r="C152" s="35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</row>
    <row r="153">
      <c r="A153" s="35"/>
      <c r="B153" s="35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</row>
    <row r="154">
      <c r="A154" s="35"/>
      <c r="B154" s="35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</row>
    <row r="155">
      <c r="A155" s="35"/>
      <c r="B155" s="35"/>
      <c r="C155" s="35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</row>
    <row r="156">
      <c r="A156" s="35"/>
      <c r="B156" s="35"/>
      <c r="C156" s="35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</row>
    <row r="157">
      <c r="A157" s="35"/>
      <c r="B157" s="35"/>
      <c r="C157" s="35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</row>
    <row r="158">
      <c r="A158" s="35"/>
      <c r="B158" s="35"/>
      <c r="C158" s="35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</row>
    <row r="159">
      <c r="A159" s="35"/>
      <c r="B159" s="35"/>
      <c r="C159" s="35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</row>
    <row r="160">
      <c r="A160" s="35"/>
      <c r="B160" s="35"/>
      <c r="C160" s="35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</row>
    <row r="161">
      <c r="A161" s="35"/>
      <c r="B161" s="35"/>
      <c r="C161" s="35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</row>
    <row r="162">
      <c r="A162" s="35"/>
      <c r="B162" s="35"/>
      <c r="C162" s="35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</row>
    <row r="163">
      <c r="A163" s="35"/>
      <c r="B163" s="35"/>
      <c r="C163" s="35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</row>
    <row r="164">
      <c r="A164" s="35"/>
      <c r="B164" s="35"/>
      <c r="C164" s="35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</row>
    <row r="165">
      <c r="A165" s="35"/>
      <c r="B165" s="35"/>
      <c r="C165" s="35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</row>
    <row r="166">
      <c r="A166" s="35"/>
      <c r="B166" s="35"/>
      <c r="C166" s="35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</row>
    <row r="167">
      <c r="A167" s="35"/>
      <c r="B167" s="35"/>
      <c r="C167" s="35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</row>
    <row r="168">
      <c r="A168" s="35"/>
      <c r="B168" s="35"/>
      <c r="C168" s="35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</row>
    <row r="169">
      <c r="A169" s="35"/>
      <c r="B169" s="35"/>
      <c r="C169" s="35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</row>
    <row r="170">
      <c r="A170" s="35"/>
      <c r="B170" s="35"/>
      <c r="C170" s="35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</row>
    <row r="171">
      <c r="A171" s="35"/>
      <c r="B171" s="35"/>
      <c r="C171" s="35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</row>
    <row r="172">
      <c r="A172" s="35"/>
      <c r="B172" s="35"/>
      <c r="C172" s="35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</row>
    <row r="173">
      <c r="A173" s="35"/>
      <c r="B173" s="35"/>
      <c r="C173" s="35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</row>
    <row r="174">
      <c r="A174" s="35"/>
      <c r="B174" s="35"/>
      <c r="C174" s="35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</row>
    <row r="175">
      <c r="A175" s="35"/>
      <c r="B175" s="35"/>
      <c r="C175" s="35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</row>
    <row r="176">
      <c r="A176" s="35"/>
      <c r="B176" s="35"/>
      <c r="C176" s="35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</row>
    <row r="177">
      <c r="A177" s="35"/>
      <c r="B177" s="35"/>
      <c r="C177" s="35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</row>
    <row r="178">
      <c r="A178" s="35"/>
      <c r="B178" s="35"/>
      <c r="C178" s="35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</row>
    <row r="179">
      <c r="A179" s="35"/>
      <c r="B179" s="35"/>
      <c r="C179" s="35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</row>
    <row r="180">
      <c r="A180" s="35"/>
      <c r="B180" s="35"/>
      <c r="C180" s="35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</row>
    <row r="181">
      <c r="A181" s="35"/>
      <c r="B181" s="35"/>
      <c r="C181" s="35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</row>
    <row r="182">
      <c r="A182" s="35"/>
      <c r="B182" s="35"/>
      <c r="C182" s="35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</row>
    <row r="183">
      <c r="A183" s="35"/>
      <c r="B183" s="35"/>
      <c r="C183" s="35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</row>
    <row r="184">
      <c r="A184" s="35"/>
      <c r="B184" s="35"/>
      <c r="C184" s="35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</row>
    <row r="185">
      <c r="A185" s="35"/>
      <c r="B185" s="35"/>
      <c r="C185" s="35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</row>
    <row r="186">
      <c r="A186" s="35"/>
      <c r="B186" s="35"/>
      <c r="C186" s="35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</row>
    <row r="187">
      <c r="A187" s="35"/>
      <c r="B187" s="35"/>
      <c r="C187" s="35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</row>
    <row r="188">
      <c r="A188" s="35"/>
      <c r="B188" s="35"/>
      <c r="C188" s="35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</row>
    <row r="189">
      <c r="A189" s="35"/>
      <c r="B189" s="35"/>
      <c r="C189" s="35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</row>
    <row r="190">
      <c r="A190" s="35"/>
      <c r="B190" s="35"/>
      <c r="C190" s="35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</row>
    <row r="191">
      <c r="A191" s="35"/>
      <c r="B191" s="35"/>
      <c r="C191" s="35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</row>
    <row r="192">
      <c r="A192" s="35"/>
      <c r="B192" s="35"/>
      <c r="C192" s="35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</row>
    <row r="193">
      <c r="A193" s="35"/>
      <c r="B193" s="35"/>
      <c r="C193" s="35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</row>
    <row r="194">
      <c r="A194" s="35"/>
      <c r="B194" s="35"/>
      <c r="C194" s="35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</row>
    <row r="195">
      <c r="A195" s="35"/>
      <c r="B195" s="35"/>
      <c r="C195" s="35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</row>
    <row r="196">
      <c r="A196" s="35"/>
      <c r="B196" s="35"/>
      <c r="C196" s="35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</row>
    <row r="197">
      <c r="A197" s="35"/>
      <c r="B197" s="35"/>
      <c r="C197" s="35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</row>
    <row r="198">
      <c r="A198" s="35"/>
      <c r="B198" s="35"/>
      <c r="C198" s="35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</row>
    <row r="199">
      <c r="A199" s="35"/>
      <c r="B199" s="35"/>
      <c r="C199" s="35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</row>
    <row r="200">
      <c r="A200" s="35"/>
      <c r="B200" s="35"/>
      <c r="C200" s="35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</row>
    <row r="201">
      <c r="A201" s="35"/>
      <c r="B201" s="35"/>
      <c r="C201" s="35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</row>
    <row r="202">
      <c r="A202" s="35"/>
      <c r="B202" s="35"/>
      <c r="C202" s="35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</row>
    <row r="203">
      <c r="A203" s="35"/>
      <c r="B203" s="35"/>
      <c r="C203" s="35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</row>
    <row r="204">
      <c r="A204" s="35"/>
      <c r="B204" s="35"/>
      <c r="C204" s="35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</row>
    <row r="205">
      <c r="A205" s="35"/>
      <c r="B205" s="35"/>
      <c r="C205" s="35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</row>
    <row r="206">
      <c r="A206" s="35"/>
      <c r="B206" s="35"/>
      <c r="C206" s="35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</row>
    <row r="207">
      <c r="A207" s="35"/>
      <c r="B207" s="35"/>
      <c r="C207" s="35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</row>
    <row r="208">
      <c r="A208" s="35"/>
      <c r="B208" s="35"/>
      <c r="C208" s="35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</row>
    <row r="209">
      <c r="A209" s="35"/>
      <c r="B209" s="35"/>
      <c r="C209" s="35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</row>
    <row r="210">
      <c r="A210" s="35"/>
      <c r="B210" s="35"/>
      <c r="C210" s="35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</row>
    <row r="211">
      <c r="A211" s="35"/>
      <c r="B211" s="35"/>
      <c r="C211" s="35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</row>
    <row r="212">
      <c r="A212" s="35"/>
      <c r="B212" s="35"/>
      <c r="C212" s="35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</row>
    <row r="213">
      <c r="A213" s="35"/>
      <c r="B213" s="35"/>
      <c r="C213" s="35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</row>
    <row r="214">
      <c r="A214" s="35"/>
      <c r="B214" s="35"/>
      <c r="C214" s="35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</row>
    <row r="215">
      <c r="A215" s="35"/>
      <c r="B215" s="35"/>
      <c r="C215" s="35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</row>
    <row r="216">
      <c r="A216" s="35"/>
      <c r="B216" s="35"/>
      <c r="C216" s="35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</row>
    <row r="217">
      <c r="A217" s="35"/>
      <c r="B217" s="35"/>
      <c r="C217" s="35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</row>
    <row r="218">
      <c r="A218" s="35"/>
      <c r="B218" s="35"/>
      <c r="C218" s="35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</row>
    <row r="219">
      <c r="A219" s="35"/>
      <c r="B219" s="35"/>
      <c r="C219" s="35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</row>
    <row r="220">
      <c r="A220" s="35"/>
      <c r="B220" s="35"/>
      <c r="C220" s="35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</row>
    <row r="221">
      <c r="A221" s="35"/>
      <c r="B221" s="35"/>
      <c r="C221" s="35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</row>
    <row r="222">
      <c r="A222" s="35"/>
      <c r="B222" s="35"/>
      <c r="C222" s="35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</row>
    <row r="223">
      <c r="A223" s="35"/>
      <c r="B223" s="35"/>
      <c r="C223" s="35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</row>
    <row r="224">
      <c r="A224" s="35"/>
      <c r="B224" s="35"/>
      <c r="C224" s="35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</row>
    <row r="225">
      <c r="A225" s="35"/>
      <c r="B225" s="35"/>
      <c r="C225" s="35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</row>
    <row r="226">
      <c r="A226" s="35"/>
      <c r="B226" s="35"/>
      <c r="C226" s="35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</row>
    <row r="227">
      <c r="A227" s="35"/>
      <c r="B227" s="35"/>
      <c r="C227" s="35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</row>
    <row r="228">
      <c r="A228" s="35"/>
      <c r="B228" s="35"/>
      <c r="C228" s="35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</row>
    <row r="229">
      <c r="A229" s="35"/>
      <c r="B229" s="35"/>
      <c r="C229" s="35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</row>
    <row r="230">
      <c r="A230" s="35"/>
      <c r="B230" s="35"/>
      <c r="C230" s="35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</row>
    <row r="231">
      <c r="A231" s="35"/>
      <c r="B231" s="35"/>
      <c r="C231" s="35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</row>
    <row r="232">
      <c r="A232" s="35"/>
      <c r="B232" s="35"/>
      <c r="C232" s="35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</row>
    <row r="233">
      <c r="A233" s="35"/>
      <c r="B233" s="35"/>
      <c r="C233" s="35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</row>
    <row r="234">
      <c r="A234" s="35"/>
      <c r="B234" s="35"/>
      <c r="C234" s="35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</row>
    <row r="235">
      <c r="A235" s="35"/>
      <c r="B235" s="35"/>
      <c r="C235" s="35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</row>
    <row r="236">
      <c r="A236" s="35"/>
      <c r="B236" s="35"/>
      <c r="C236" s="35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</row>
    <row r="237">
      <c r="A237" s="35"/>
      <c r="B237" s="35"/>
      <c r="C237" s="35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</row>
    <row r="238">
      <c r="A238" s="35"/>
      <c r="B238" s="35"/>
      <c r="C238" s="35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</row>
    <row r="239">
      <c r="A239" s="35"/>
      <c r="B239" s="35"/>
      <c r="C239" s="35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</row>
    <row r="240">
      <c r="A240" s="35"/>
      <c r="B240" s="35"/>
      <c r="C240" s="35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</row>
    <row r="241">
      <c r="A241" s="35"/>
      <c r="B241" s="35"/>
      <c r="C241" s="35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</row>
    <row r="242">
      <c r="A242" s="35"/>
      <c r="B242" s="35"/>
      <c r="C242" s="35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</row>
    <row r="243">
      <c r="A243" s="35"/>
      <c r="B243" s="35"/>
      <c r="C243" s="35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</row>
    <row r="244">
      <c r="A244" s="35"/>
      <c r="B244" s="35"/>
      <c r="C244" s="35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</row>
    <row r="245">
      <c r="A245" s="35"/>
      <c r="B245" s="35"/>
      <c r="C245" s="35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</row>
    <row r="246">
      <c r="A246" s="35"/>
      <c r="B246" s="35"/>
      <c r="C246" s="35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</row>
    <row r="247">
      <c r="A247" s="35"/>
      <c r="B247" s="35"/>
      <c r="C247" s="35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</row>
    <row r="248">
      <c r="A248" s="35"/>
      <c r="B248" s="35"/>
      <c r="C248" s="35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</row>
    <row r="249">
      <c r="A249" s="35"/>
      <c r="B249" s="35"/>
      <c r="C249" s="35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</row>
    <row r="250">
      <c r="A250" s="35"/>
      <c r="B250" s="35"/>
      <c r="C250" s="35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</row>
    <row r="251">
      <c r="A251" s="35"/>
      <c r="B251" s="35"/>
      <c r="C251" s="35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</row>
    <row r="252">
      <c r="A252" s="35"/>
      <c r="B252" s="35"/>
      <c r="C252" s="35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</row>
    <row r="253">
      <c r="A253" s="35"/>
      <c r="B253" s="35"/>
      <c r="C253" s="35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</row>
    <row r="254">
      <c r="A254" s="35"/>
      <c r="B254" s="35"/>
      <c r="C254" s="35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</row>
    <row r="255">
      <c r="A255" s="35"/>
      <c r="B255" s="35"/>
      <c r="C255" s="35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</row>
    <row r="256">
      <c r="A256" s="35"/>
      <c r="B256" s="35"/>
      <c r="C256" s="35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</row>
    <row r="257">
      <c r="A257" s="35"/>
      <c r="B257" s="35"/>
      <c r="C257" s="35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</row>
    <row r="258">
      <c r="A258" s="35"/>
      <c r="B258" s="35"/>
      <c r="C258" s="35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</row>
    <row r="259">
      <c r="A259" s="35"/>
      <c r="B259" s="35"/>
      <c r="C259" s="35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</row>
    <row r="260">
      <c r="A260" s="35"/>
      <c r="B260" s="35"/>
      <c r="C260" s="35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</row>
    <row r="261">
      <c r="A261" s="35"/>
      <c r="B261" s="35"/>
      <c r="C261" s="35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</row>
    <row r="262">
      <c r="A262" s="35"/>
      <c r="B262" s="35"/>
      <c r="C262" s="35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</row>
    <row r="263">
      <c r="A263" s="35"/>
      <c r="B263" s="35"/>
      <c r="C263" s="35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</row>
    <row r="264">
      <c r="A264" s="35"/>
      <c r="B264" s="35"/>
      <c r="C264" s="35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</row>
    <row r="265">
      <c r="A265" s="35"/>
      <c r="B265" s="35"/>
      <c r="C265" s="35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</row>
    <row r="266">
      <c r="A266" s="35"/>
      <c r="B266" s="35"/>
      <c r="C266" s="35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</row>
    <row r="267">
      <c r="A267" s="35"/>
      <c r="B267" s="35"/>
      <c r="C267" s="35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</row>
    <row r="268">
      <c r="A268" s="35"/>
      <c r="B268" s="35"/>
      <c r="C268" s="35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</row>
    <row r="269">
      <c r="A269" s="35"/>
      <c r="B269" s="35"/>
      <c r="C269" s="35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</row>
    <row r="270">
      <c r="A270" s="35"/>
      <c r="B270" s="35"/>
      <c r="C270" s="35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</row>
    <row r="271">
      <c r="A271" s="35"/>
      <c r="B271" s="35"/>
      <c r="C271" s="35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</row>
    <row r="272">
      <c r="A272" s="35"/>
      <c r="B272" s="35"/>
      <c r="C272" s="35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</row>
    <row r="273">
      <c r="A273" s="35"/>
      <c r="B273" s="35"/>
      <c r="C273" s="35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</row>
    <row r="274">
      <c r="A274" s="35"/>
      <c r="B274" s="35"/>
      <c r="C274" s="35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</row>
    <row r="275">
      <c r="A275" s="35"/>
      <c r="B275" s="35"/>
      <c r="C275" s="35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</row>
    <row r="276">
      <c r="A276" s="35"/>
      <c r="B276" s="35"/>
      <c r="C276" s="35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</row>
    <row r="277">
      <c r="A277" s="35"/>
      <c r="B277" s="35"/>
      <c r="C277" s="35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</row>
    <row r="278">
      <c r="A278" s="35"/>
      <c r="B278" s="35"/>
      <c r="C278" s="35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</row>
    <row r="279">
      <c r="A279" s="35"/>
      <c r="B279" s="35"/>
      <c r="C279" s="35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</row>
    <row r="280">
      <c r="A280" s="35"/>
      <c r="B280" s="35"/>
      <c r="C280" s="35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</row>
    <row r="281">
      <c r="A281" s="35"/>
      <c r="B281" s="35"/>
      <c r="C281" s="35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</row>
    <row r="282">
      <c r="A282" s="35"/>
      <c r="B282" s="35"/>
      <c r="C282" s="35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</row>
    <row r="283">
      <c r="A283" s="35"/>
      <c r="B283" s="35"/>
      <c r="C283" s="35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</row>
    <row r="284">
      <c r="A284" s="35"/>
      <c r="B284" s="35"/>
      <c r="C284" s="35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</row>
    <row r="285">
      <c r="A285" s="35"/>
      <c r="B285" s="35"/>
      <c r="C285" s="35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</row>
    <row r="286">
      <c r="A286" s="35"/>
      <c r="B286" s="35"/>
      <c r="C286" s="35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</row>
    <row r="287">
      <c r="A287" s="35"/>
      <c r="B287" s="35"/>
      <c r="C287" s="35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</row>
    <row r="288">
      <c r="A288" s="35"/>
      <c r="B288" s="35"/>
      <c r="C288" s="35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</row>
    <row r="289">
      <c r="A289" s="35"/>
      <c r="B289" s="35"/>
      <c r="C289" s="35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</row>
    <row r="290">
      <c r="A290" s="35"/>
      <c r="B290" s="35"/>
      <c r="C290" s="35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</row>
    <row r="291">
      <c r="A291" s="35"/>
      <c r="B291" s="35"/>
      <c r="C291" s="35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</row>
    <row r="292">
      <c r="A292" s="35"/>
      <c r="B292" s="35"/>
      <c r="C292" s="35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</row>
    <row r="293">
      <c r="A293" s="35"/>
      <c r="B293" s="35"/>
      <c r="C293" s="35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</row>
    <row r="294">
      <c r="A294" s="35"/>
      <c r="B294" s="35"/>
      <c r="C294" s="35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</row>
    <row r="295">
      <c r="A295" s="35"/>
      <c r="B295" s="35"/>
      <c r="C295" s="35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</row>
    <row r="296">
      <c r="A296" s="35"/>
      <c r="B296" s="35"/>
      <c r="C296" s="35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</row>
    <row r="297">
      <c r="A297" s="35"/>
      <c r="B297" s="35"/>
      <c r="C297" s="35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</row>
    <row r="298">
      <c r="A298" s="35"/>
      <c r="B298" s="35"/>
      <c r="C298" s="35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</row>
    <row r="299">
      <c r="A299" s="35"/>
      <c r="B299" s="35"/>
      <c r="C299" s="35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</row>
    <row r="300">
      <c r="A300" s="35"/>
      <c r="B300" s="35"/>
      <c r="C300" s="35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</row>
    <row r="301">
      <c r="A301" s="35"/>
      <c r="B301" s="35"/>
      <c r="C301" s="35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</row>
    <row r="302">
      <c r="A302" s="35"/>
      <c r="B302" s="35"/>
      <c r="C302" s="35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</row>
    <row r="303">
      <c r="A303" s="35"/>
      <c r="B303" s="35"/>
      <c r="C303" s="35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</row>
    <row r="304">
      <c r="A304" s="35"/>
      <c r="B304" s="35"/>
      <c r="C304" s="35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</row>
    <row r="305">
      <c r="A305" s="35"/>
      <c r="B305" s="35"/>
      <c r="C305" s="35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</row>
    <row r="306">
      <c r="A306" s="35"/>
      <c r="B306" s="35"/>
      <c r="C306" s="35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</row>
    <row r="307">
      <c r="A307" s="35"/>
      <c r="B307" s="35"/>
      <c r="C307" s="35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</row>
    <row r="308">
      <c r="A308" s="35"/>
      <c r="B308" s="35"/>
      <c r="C308" s="35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</row>
    <row r="309">
      <c r="A309" s="35"/>
      <c r="B309" s="35"/>
      <c r="C309" s="35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</row>
    <row r="310">
      <c r="A310" s="35"/>
      <c r="B310" s="35"/>
      <c r="C310" s="35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</row>
    <row r="311">
      <c r="A311" s="35"/>
      <c r="B311" s="35"/>
      <c r="C311" s="35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</row>
    <row r="312">
      <c r="A312" s="35"/>
      <c r="B312" s="35"/>
      <c r="C312" s="35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</row>
    <row r="313">
      <c r="A313" s="35"/>
      <c r="B313" s="35"/>
      <c r="C313" s="35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</row>
    <row r="314">
      <c r="A314" s="35"/>
      <c r="B314" s="35"/>
      <c r="C314" s="35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</row>
    <row r="315">
      <c r="A315" s="35"/>
      <c r="B315" s="35"/>
      <c r="C315" s="35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</row>
    <row r="316">
      <c r="A316" s="35"/>
      <c r="B316" s="35"/>
      <c r="C316" s="35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</row>
    <row r="317">
      <c r="A317" s="35"/>
      <c r="B317" s="35"/>
      <c r="C317" s="35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</row>
    <row r="318">
      <c r="A318" s="35"/>
      <c r="B318" s="35"/>
      <c r="C318" s="35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</row>
    <row r="319">
      <c r="A319" s="35"/>
      <c r="B319" s="35"/>
      <c r="C319" s="35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</row>
    <row r="320">
      <c r="A320" s="35"/>
      <c r="B320" s="35"/>
      <c r="C320" s="35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</row>
    <row r="321">
      <c r="A321" s="35"/>
      <c r="B321" s="35"/>
      <c r="C321" s="35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</row>
    <row r="322">
      <c r="A322" s="35"/>
      <c r="B322" s="35"/>
      <c r="C322" s="35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</row>
    <row r="323">
      <c r="A323" s="35"/>
      <c r="B323" s="35"/>
      <c r="C323" s="35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</row>
    <row r="324">
      <c r="A324" s="35"/>
      <c r="B324" s="35"/>
      <c r="C324" s="35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</row>
    <row r="325">
      <c r="A325" s="35"/>
      <c r="B325" s="35"/>
      <c r="C325" s="35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</row>
    <row r="326">
      <c r="A326" s="35"/>
      <c r="B326" s="35"/>
      <c r="C326" s="35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</row>
    <row r="327">
      <c r="A327" s="35"/>
      <c r="B327" s="35"/>
      <c r="C327" s="35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</row>
    <row r="328">
      <c r="A328" s="35"/>
      <c r="B328" s="35"/>
      <c r="C328" s="35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</row>
    <row r="329">
      <c r="A329" s="35"/>
      <c r="B329" s="35"/>
      <c r="C329" s="35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</row>
    <row r="330">
      <c r="A330" s="35"/>
      <c r="B330" s="35"/>
      <c r="C330" s="35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</row>
    <row r="331">
      <c r="A331" s="35"/>
      <c r="B331" s="35"/>
      <c r="C331" s="35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</row>
    <row r="332">
      <c r="A332" s="35"/>
      <c r="B332" s="35"/>
      <c r="C332" s="35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</row>
    <row r="333">
      <c r="A333" s="35"/>
      <c r="B333" s="35"/>
      <c r="C333" s="35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</row>
    <row r="334">
      <c r="A334" s="35"/>
      <c r="B334" s="35"/>
      <c r="C334" s="35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</row>
    <row r="335">
      <c r="A335" s="35"/>
      <c r="B335" s="35"/>
      <c r="C335" s="35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</row>
    <row r="336">
      <c r="A336" s="35"/>
      <c r="B336" s="35"/>
      <c r="C336" s="35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</row>
    <row r="337">
      <c r="A337" s="35"/>
      <c r="B337" s="35"/>
      <c r="C337" s="35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</row>
    <row r="338">
      <c r="A338" s="35"/>
      <c r="B338" s="35"/>
      <c r="C338" s="35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</row>
    <row r="339">
      <c r="A339" s="35"/>
      <c r="B339" s="35"/>
      <c r="C339" s="35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</row>
    <row r="340">
      <c r="A340" s="35"/>
      <c r="B340" s="35"/>
      <c r="C340" s="35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</row>
    <row r="341">
      <c r="A341" s="35"/>
      <c r="B341" s="35"/>
      <c r="C341" s="35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</row>
    <row r="342">
      <c r="A342" s="35"/>
      <c r="B342" s="35"/>
      <c r="C342" s="35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</row>
    <row r="343">
      <c r="A343" s="35"/>
      <c r="B343" s="35"/>
      <c r="C343" s="35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</row>
    <row r="344">
      <c r="A344" s="35"/>
      <c r="B344" s="35"/>
      <c r="C344" s="35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</row>
    <row r="345">
      <c r="A345" s="35"/>
      <c r="B345" s="35"/>
      <c r="C345" s="35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</row>
    <row r="346">
      <c r="A346" s="35"/>
      <c r="B346" s="35"/>
      <c r="C346" s="35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</row>
    <row r="347">
      <c r="A347" s="35"/>
      <c r="B347" s="35"/>
      <c r="C347" s="35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</row>
    <row r="348">
      <c r="A348" s="35"/>
      <c r="B348" s="35"/>
      <c r="C348" s="35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</row>
    <row r="349">
      <c r="A349" s="35"/>
      <c r="B349" s="35"/>
      <c r="C349" s="35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</row>
    <row r="350">
      <c r="A350" s="35"/>
      <c r="B350" s="35"/>
      <c r="C350" s="35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</row>
    <row r="351">
      <c r="A351" s="35"/>
      <c r="B351" s="35"/>
      <c r="C351" s="35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</row>
    <row r="352">
      <c r="A352" s="35"/>
      <c r="B352" s="35"/>
      <c r="C352" s="35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</row>
    <row r="353">
      <c r="A353" s="35"/>
      <c r="B353" s="35"/>
      <c r="C353" s="35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</row>
    <row r="354">
      <c r="A354" s="35"/>
      <c r="B354" s="35"/>
      <c r="C354" s="35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</row>
    <row r="355">
      <c r="A355" s="35"/>
      <c r="B355" s="35"/>
      <c r="C355" s="35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</row>
    <row r="356">
      <c r="A356" s="35"/>
      <c r="B356" s="35"/>
      <c r="C356" s="35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</row>
    <row r="357">
      <c r="A357" s="35"/>
      <c r="B357" s="35"/>
      <c r="C357" s="35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</row>
    <row r="358">
      <c r="A358" s="35"/>
      <c r="B358" s="35"/>
      <c r="C358" s="35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</row>
    <row r="359">
      <c r="A359" s="35"/>
      <c r="B359" s="35"/>
      <c r="C359" s="35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</row>
    <row r="360">
      <c r="A360" s="35"/>
      <c r="B360" s="35"/>
      <c r="C360" s="35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</row>
    <row r="361">
      <c r="A361" s="35"/>
      <c r="B361" s="35"/>
      <c r="C361" s="35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</row>
    <row r="362">
      <c r="A362" s="35"/>
      <c r="B362" s="35"/>
      <c r="C362" s="35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</row>
    <row r="363">
      <c r="A363" s="35"/>
      <c r="B363" s="35"/>
      <c r="C363" s="35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</row>
    <row r="364">
      <c r="A364" s="35"/>
      <c r="B364" s="35"/>
      <c r="C364" s="35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</row>
    <row r="365">
      <c r="A365" s="35"/>
      <c r="B365" s="35"/>
      <c r="C365" s="35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</row>
    <row r="366">
      <c r="A366" s="35"/>
      <c r="B366" s="35"/>
      <c r="C366" s="35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</row>
    <row r="367">
      <c r="A367" s="35"/>
      <c r="B367" s="35"/>
      <c r="C367" s="35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</row>
    <row r="368">
      <c r="A368" s="35"/>
      <c r="B368" s="35"/>
      <c r="C368" s="35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</row>
    <row r="369">
      <c r="A369" s="35"/>
      <c r="B369" s="35"/>
      <c r="C369" s="35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</row>
    <row r="370">
      <c r="A370" s="35"/>
      <c r="B370" s="35"/>
      <c r="C370" s="35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</row>
    <row r="371">
      <c r="A371" s="35"/>
      <c r="B371" s="35"/>
      <c r="C371" s="35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</row>
    <row r="372">
      <c r="A372" s="35"/>
      <c r="B372" s="35"/>
      <c r="C372" s="35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</row>
    <row r="373">
      <c r="A373" s="35"/>
      <c r="B373" s="35"/>
      <c r="C373" s="35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</row>
    <row r="374">
      <c r="A374" s="35"/>
      <c r="B374" s="35"/>
      <c r="C374" s="35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</row>
    <row r="375">
      <c r="A375" s="35"/>
      <c r="B375" s="35"/>
      <c r="C375" s="35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</row>
    <row r="376">
      <c r="A376" s="35"/>
      <c r="B376" s="35"/>
      <c r="C376" s="35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</row>
    <row r="377">
      <c r="A377" s="35"/>
      <c r="B377" s="35"/>
      <c r="C377" s="35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</row>
    <row r="378">
      <c r="A378" s="35"/>
      <c r="B378" s="35"/>
      <c r="C378" s="35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</row>
    <row r="379">
      <c r="A379" s="35"/>
      <c r="B379" s="35"/>
      <c r="C379" s="35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</row>
    <row r="380">
      <c r="A380" s="35"/>
      <c r="B380" s="35"/>
      <c r="C380" s="35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</row>
    <row r="381">
      <c r="A381" s="35"/>
      <c r="B381" s="35"/>
      <c r="C381" s="35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</row>
    <row r="382">
      <c r="A382" s="35"/>
      <c r="B382" s="35"/>
      <c r="C382" s="35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</row>
    <row r="383">
      <c r="A383" s="35"/>
      <c r="B383" s="35"/>
      <c r="C383" s="35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</row>
    <row r="384">
      <c r="A384" s="35"/>
      <c r="B384" s="35"/>
      <c r="C384" s="35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</row>
    <row r="385">
      <c r="A385" s="35"/>
      <c r="B385" s="35"/>
      <c r="C385" s="35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</row>
    <row r="386">
      <c r="A386" s="35"/>
      <c r="B386" s="35"/>
      <c r="C386" s="35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</row>
    <row r="387">
      <c r="A387" s="35"/>
      <c r="B387" s="35"/>
      <c r="C387" s="35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</row>
    <row r="388">
      <c r="A388" s="35"/>
      <c r="B388" s="35"/>
      <c r="C388" s="35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</row>
    <row r="389">
      <c r="A389" s="35"/>
      <c r="B389" s="35"/>
      <c r="C389" s="35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</row>
    <row r="390">
      <c r="A390" s="35"/>
      <c r="B390" s="35"/>
      <c r="C390" s="35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</row>
    <row r="391">
      <c r="A391" s="35"/>
      <c r="B391" s="35"/>
      <c r="C391" s="35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</row>
    <row r="392">
      <c r="A392" s="35"/>
      <c r="B392" s="35"/>
      <c r="C392" s="35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</row>
    <row r="393">
      <c r="A393" s="35"/>
      <c r="B393" s="35"/>
      <c r="C393" s="35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</row>
    <row r="394">
      <c r="A394" s="35"/>
      <c r="B394" s="35"/>
      <c r="C394" s="35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</row>
    <row r="395">
      <c r="A395" s="35"/>
      <c r="B395" s="35"/>
      <c r="C395" s="35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</row>
    <row r="396">
      <c r="A396" s="35"/>
      <c r="B396" s="35"/>
      <c r="C396" s="35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</row>
    <row r="397">
      <c r="A397" s="35"/>
      <c r="B397" s="35"/>
      <c r="C397" s="35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</row>
    <row r="398">
      <c r="A398" s="35"/>
      <c r="B398" s="35"/>
      <c r="C398" s="35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</row>
    <row r="399">
      <c r="A399" s="35"/>
      <c r="B399" s="35"/>
      <c r="C399" s="35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</row>
    <row r="400">
      <c r="A400" s="35"/>
      <c r="B400" s="35"/>
      <c r="C400" s="35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</row>
    <row r="401">
      <c r="A401" s="35"/>
      <c r="B401" s="35"/>
      <c r="C401" s="35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</row>
    <row r="402">
      <c r="A402" s="35"/>
      <c r="B402" s="35"/>
      <c r="C402" s="35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</row>
    <row r="403">
      <c r="A403" s="35"/>
      <c r="B403" s="35"/>
      <c r="C403" s="35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</row>
    <row r="404">
      <c r="A404" s="35"/>
      <c r="B404" s="35"/>
      <c r="C404" s="35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</row>
    <row r="405">
      <c r="A405" s="35"/>
      <c r="B405" s="35"/>
      <c r="C405" s="35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</row>
    <row r="406">
      <c r="A406" s="35"/>
      <c r="B406" s="35"/>
      <c r="C406" s="35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</row>
    <row r="407">
      <c r="A407" s="35"/>
      <c r="B407" s="35"/>
      <c r="C407" s="35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</row>
    <row r="408">
      <c r="A408" s="35"/>
      <c r="B408" s="35"/>
      <c r="C408" s="35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</row>
    <row r="409">
      <c r="A409" s="35"/>
      <c r="B409" s="35"/>
      <c r="C409" s="35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</row>
    <row r="410">
      <c r="A410" s="35"/>
      <c r="B410" s="35"/>
      <c r="C410" s="35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</row>
    <row r="411">
      <c r="A411" s="35"/>
      <c r="B411" s="35"/>
      <c r="C411" s="35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</row>
    <row r="412">
      <c r="A412" s="35"/>
      <c r="B412" s="35"/>
      <c r="C412" s="35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</row>
    <row r="413">
      <c r="A413" s="35"/>
      <c r="B413" s="35"/>
      <c r="C413" s="35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</row>
    <row r="414">
      <c r="A414" s="35"/>
      <c r="B414" s="35"/>
      <c r="C414" s="35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</row>
    <row r="415">
      <c r="A415" s="35"/>
      <c r="B415" s="35"/>
      <c r="C415" s="35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</row>
    <row r="416">
      <c r="A416" s="35"/>
      <c r="B416" s="35"/>
      <c r="C416" s="35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</row>
    <row r="417">
      <c r="A417" s="35"/>
      <c r="B417" s="35"/>
      <c r="C417" s="35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</row>
    <row r="418">
      <c r="A418" s="35"/>
      <c r="B418" s="35"/>
      <c r="C418" s="35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</row>
    <row r="419">
      <c r="A419" s="35"/>
      <c r="B419" s="35"/>
      <c r="C419" s="35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</row>
    <row r="420">
      <c r="A420" s="35"/>
      <c r="B420" s="35"/>
      <c r="C420" s="35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</row>
    <row r="421">
      <c r="A421" s="35"/>
      <c r="B421" s="35"/>
      <c r="C421" s="35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</row>
    <row r="422">
      <c r="A422" s="35"/>
      <c r="B422" s="35"/>
      <c r="C422" s="35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</row>
    <row r="423">
      <c r="A423" s="35"/>
      <c r="B423" s="35"/>
      <c r="C423" s="35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</row>
    <row r="424">
      <c r="A424" s="35"/>
      <c r="B424" s="35"/>
      <c r="C424" s="35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</row>
    <row r="425">
      <c r="A425" s="35"/>
      <c r="B425" s="35"/>
      <c r="C425" s="35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</row>
    <row r="426">
      <c r="A426" s="35"/>
      <c r="B426" s="35"/>
      <c r="C426" s="35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</row>
    <row r="427">
      <c r="A427" s="35"/>
      <c r="B427" s="35"/>
      <c r="C427" s="35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</row>
    <row r="428">
      <c r="A428" s="35"/>
      <c r="B428" s="35"/>
      <c r="C428" s="35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</row>
    <row r="429">
      <c r="A429" s="35"/>
      <c r="B429" s="35"/>
      <c r="C429" s="35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</row>
    <row r="430">
      <c r="A430" s="35"/>
      <c r="B430" s="35"/>
      <c r="C430" s="35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</row>
    <row r="431">
      <c r="A431" s="35"/>
      <c r="B431" s="35"/>
      <c r="C431" s="35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</row>
    <row r="432">
      <c r="A432" s="35"/>
      <c r="B432" s="35"/>
      <c r="C432" s="35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</row>
    <row r="433">
      <c r="A433" s="35"/>
      <c r="B433" s="35"/>
      <c r="C433" s="35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</row>
    <row r="434">
      <c r="A434" s="35"/>
      <c r="B434" s="35"/>
      <c r="C434" s="35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</row>
    <row r="435">
      <c r="A435" s="35"/>
      <c r="B435" s="35"/>
      <c r="C435" s="35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</row>
    <row r="436">
      <c r="A436" s="35"/>
      <c r="B436" s="35"/>
      <c r="C436" s="35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</row>
    <row r="437">
      <c r="A437" s="35"/>
      <c r="B437" s="35"/>
      <c r="C437" s="35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</row>
    <row r="438">
      <c r="A438" s="35"/>
      <c r="B438" s="35"/>
      <c r="C438" s="35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</row>
    <row r="439">
      <c r="A439" s="35"/>
      <c r="B439" s="35"/>
      <c r="C439" s="35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</row>
    <row r="440">
      <c r="A440" s="35"/>
      <c r="B440" s="35"/>
      <c r="C440" s="35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</row>
    <row r="441">
      <c r="A441" s="35"/>
      <c r="B441" s="35"/>
      <c r="C441" s="35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</row>
    <row r="442">
      <c r="A442" s="35"/>
      <c r="B442" s="35"/>
      <c r="C442" s="35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</row>
    <row r="443">
      <c r="A443" s="35"/>
      <c r="B443" s="35"/>
      <c r="C443" s="35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</row>
    <row r="444">
      <c r="A444" s="35"/>
      <c r="B444" s="35"/>
      <c r="C444" s="35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</row>
    <row r="445">
      <c r="A445" s="35"/>
      <c r="B445" s="35"/>
      <c r="C445" s="35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</row>
    <row r="446">
      <c r="A446" s="35"/>
      <c r="B446" s="35"/>
      <c r="C446" s="35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</row>
    <row r="447">
      <c r="A447" s="35"/>
      <c r="B447" s="35"/>
      <c r="C447" s="35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</row>
    <row r="448">
      <c r="A448" s="35"/>
      <c r="B448" s="35"/>
      <c r="C448" s="35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</row>
    <row r="449">
      <c r="A449" s="35"/>
      <c r="B449" s="35"/>
      <c r="C449" s="35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</row>
    <row r="450">
      <c r="A450" s="35"/>
      <c r="B450" s="35"/>
      <c r="C450" s="35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</row>
    <row r="451">
      <c r="A451" s="35"/>
      <c r="B451" s="35"/>
      <c r="C451" s="35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</row>
    <row r="452">
      <c r="A452" s="35"/>
      <c r="B452" s="35"/>
      <c r="C452" s="35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</row>
    <row r="453">
      <c r="A453" s="35"/>
      <c r="B453" s="35"/>
      <c r="C453" s="35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</row>
    <row r="454">
      <c r="A454" s="35"/>
      <c r="B454" s="35"/>
      <c r="C454" s="35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</row>
    <row r="455">
      <c r="A455" s="35"/>
      <c r="B455" s="35"/>
      <c r="C455" s="35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</row>
    <row r="456">
      <c r="A456" s="35"/>
      <c r="B456" s="35"/>
      <c r="C456" s="35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</row>
    <row r="457">
      <c r="A457" s="35"/>
      <c r="B457" s="35"/>
      <c r="C457" s="35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</row>
    <row r="458">
      <c r="A458" s="35"/>
      <c r="B458" s="35"/>
      <c r="C458" s="35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</row>
    <row r="459">
      <c r="A459" s="35"/>
      <c r="B459" s="35"/>
      <c r="C459" s="35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</row>
    <row r="460">
      <c r="A460" s="35"/>
      <c r="B460" s="35"/>
      <c r="C460" s="35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</row>
    <row r="461">
      <c r="A461" s="35"/>
      <c r="B461" s="35"/>
      <c r="C461" s="35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</row>
    <row r="462">
      <c r="A462" s="35"/>
      <c r="B462" s="35"/>
      <c r="C462" s="35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</row>
    <row r="463">
      <c r="A463" s="35"/>
      <c r="B463" s="35"/>
      <c r="C463" s="35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</row>
    <row r="464">
      <c r="A464" s="35"/>
      <c r="B464" s="35"/>
      <c r="C464" s="35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</row>
    <row r="465">
      <c r="A465" s="35"/>
      <c r="B465" s="35"/>
      <c r="C465" s="35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</row>
    <row r="466">
      <c r="A466" s="35"/>
      <c r="B466" s="35"/>
      <c r="C466" s="35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</row>
    <row r="467">
      <c r="A467" s="35"/>
      <c r="B467" s="35"/>
      <c r="C467" s="35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</row>
    <row r="468">
      <c r="A468" s="35"/>
      <c r="B468" s="35"/>
      <c r="C468" s="35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</row>
    <row r="469">
      <c r="A469" s="35"/>
      <c r="B469" s="35"/>
      <c r="C469" s="35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</row>
    <row r="470">
      <c r="A470" s="35"/>
      <c r="B470" s="35"/>
      <c r="C470" s="35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</row>
    <row r="471">
      <c r="A471" s="35"/>
      <c r="B471" s="35"/>
      <c r="C471" s="35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</row>
    <row r="472">
      <c r="A472" s="35"/>
      <c r="B472" s="35"/>
      <c r="C472" s="35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</row>
    <row r="473">
      <c r="A473" s="35"/>
      <c r="B473" s="35"/>
      <c r="C473" s="35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</row>
    <row r="474">
      <c r="A474" s="35"/>
      <c r="B474" s="35"/>
      <c r="C474" s="35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</row>
    <row r="475">
      <c r="A475" s="35"/>
      <c r="B475" s="35"/>
      <c r="C475" s="35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</row>
    <row r="476">
      <c r="A476" s="35"/>
      <c r="B476" s="35"/>
      <c r="C476" s="35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</row>
    <row r="477">
      <c r="A477" s="35"/>
      <c r="B477" s="35"/>
      <c r="C477" s="35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</row>
    <row r="478">
      <c r="A478" s="35"/>
      <c r="B478" s="35"/>
      <c r="C478" s="35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</row>
    <row r="479">
      <c r="A479" s="35"/>
      <c r="B479" s="35"/>
      <c r="C479" s="35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</row>
    <row r="480">
      <c r="A480" s="35"/>
      <c r="B480" s="35"/>
      <c r="C480" s="35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</row>
    <row r="481">
      <c r="A481" s="35"/>
      <c r="B481" s="35"/>
      <c r="C481" s="35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</row>
    <row r="482">
      <c r="A482" s="35"/>
      <c r="B482" s="35"/>
      <c r="C482" s="35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</row>
    <row r="483">
      <c r="A483" s="35"/>
      <c r="B483" s="35"/>
      <c r="C483" s="35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</row>
    <row r="484">
      <c r="A484" s="35"/>
      <c r="B484" s="35"/>
      <c r="C484" s="35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</row>
    <row r="485">
      <c r="A485" s="35"/>
      <c r="B485" s="35"/>
      <c r="C485" s="35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</row>
    <row r="486">
      <c r="A486" s="35"/>
      <c r="B486" s="35"/>
      <c r="C486" s="35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</row>
    <row r="487">
      <c r="A487" s="35"/>
      <c r="B487" s="35"/>
      <c r="C487" s="35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</row>
    <row r="488">
      <c r="A488" s="35"/>
      <c r="B488" s="35"/>
      <c r="C488" s="35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</row>
    <row r="489">
      <c r="A489" s="35"/>
      <c r="B489" s="35"/>
      <c r="C489" s="35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</row>
    <row r="490">
      <c r="A490" s="35"/>
      <c r="B490" s="35"/>
      <c r="C490" s="35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</row>
    <row r="491">
      <c r="A491" s="35"/>
      <c r="B491" s="35"/>
      <c r="C491" s="35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</row>
    <row r="492">
      <c r="A492" s="35"/>
      <c r="B492" s="35"/>
      <c r="C492" s="35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</row>
    <row r="493">
      <c r="A493" s="35"/>
      <c r="B493" s="35"/>
      <c r="C493" s="35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</row>
    <row r="494">
      <c r="A494" s="35"/>
      <c r="B494" s="35"/>
      <c r="C494" s="35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</row>
    <row r="495">
      <c r="A495" s="35"/>
      <c r="B495" s="35"/>
      <c r="C495" s="35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</row>
    <row r="496">
      <c r="A496" s="35"/>
      <c r="B496" s="35"/>
      <c r="C496" s="35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</row>
    <row r="497">
      <c r="A497" s="35"/>
      <c r="B497" s="35"/>
      <c r="C497" s="35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</row>
    <row r="498">
      <c r="A498" s="35"/>
      <c r="B498" s="35"/>
      <c r="C498" s="35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</row>
    <row r="499">
      <c r="A499" s="35"/>
      <c r="B499" s="35"/>
      <c r="C499" s="35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</row>
    <row r="500">
      <c r="A500" s="35"/>
      <c r="B500" s="35"/>
      <c r="C500" s="35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</row>
    <row r="501">
      <c r="A501" s="35"/>
      <c r="B501" s="35"/>
      <c r="C501" s="35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</row>
    <row r="502">
      <c r="A502" s="35"/>
      <c r="B502" s="35"/>
      <c r="C502" s="35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</row>
    <row r="503">
      <c r="A503" s="35"/>
      <c r="B503" s="35"/>
      <c r="C503" s="35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</row>
    <row r="504">
      <c r="A504" s="35"/>
      <c r="B504" s="35"/>
      <c r="C504" s="35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</row>
    <row r="505">
      <c r="A505" s="35"/>
      <c r="B505" s="35"/>
      <c r="C505" s="35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</row>
    <row r="506">
      <c r="A506" s="35"/>
      <c r="B506" s="35"/>
      <c r="C506" s="35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</row>
    <row r="507">
      <c r="A507" s="35"/>
      <c r="B507" s="35"/>
      <c r="C507" s="35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</row>
    <row r="508">
      <c r="A508" s="35"/>
      <c r="B508" s="35"/>
      <c r="C508" s="35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</row>
    <row r="509">
      <c r="A509" s="35"/>
      <c r="B509" s="35"/>
      <c r="C509" s="35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</row>
    <row r="510">
      <c r="A510" s="35"/>
      <c r="B510" s="35"/>
      <c r="C510" s="35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</row>
    <row r="511">
      <c r="A511" s="35"/>
      <c r="B511" s="35"/>
      <c r="C511" s="35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</row>
    <row r="512">
      <c r="A512" s="35"/>
      <c r="B512" s="35"/>
      <c r="C512" s="35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</row>
    <row r="513">
      <c r="A513" s="35"/>
      <c r="B513" s="35"/>
      <c r="C513" s="35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</row>
    <row r="514">
      <c r="A514" s="35"/>
      <c r="B514" s="35"/>
      <c r="C514" s="35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</row>
    <row r="515">
      <c r="A515" s="35"/>
      <c r="B515" s="35"/>
      <c r="C515" s="35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</row>
    <row r="516">
      <c r="A516" s="35"/>
      <c r="B516" s="35"/>
      <c r="C516" s="35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</row>
    <row r="517">
      <c r="A517" s="35"/>
      <c r="B517" s="35"/>
      <c r="C517" s="35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</row>
    <row r="518">
      <c r="A518" s="35"/>
      <c r="B518" s="35"/>
      <c r="C518" s="35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</row>
    <row r="519">
      <c r="A519" s="35"/>
      <c r="B519" s="35"/>
      <c r="C519" s="35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</row>
    <row r="520">
      <c r="A520" s="35"/>
      <c r="B520" s="35"/>
      <c r="C520" s="35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</row>
    <row r="521">
      <c r="A521" s="35"/>
      <c r="B521" s="35"/>
      <c r="C521" s="35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</row>
    <row r="522">
      <c r="A522" s="35"/>
      <c r="B522" s="35"/>
      <c r="C522" s="35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</row>
    <row r="523">
      <c r="A523" s="35"/>
      <c r="B523" s="35"/>
      <c r="C523" s="35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</row>
    <row r="524">
      <c r="A524" s="35"/>
      <c r="B524" s="35"/>
      <c r="C524" s="35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</row>
    <row r="525">
      <c r="A525" s="35"/>
      <c r="B525" s="35"/>
      <c r="C525" s="35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</row>
    <row r="526">
      <c r="A526" s="35"/>
      <c r="B526" s="35"/>
      <c r="C526" s="35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</row>
    <row r="527">
      <c r="A527" s="35"/>
      <c r="B527" s="35"/>
      <c r="C527" s="35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</row>
    <row r="528">
      <c r="A528" s="35"/>
      <c r="B528" s="35"/>
      <c r="C528" s="35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</row>
    <row r="529">
      <c r="A529" s="35"/>
      <c r="B529" s="35"/>
      <c r="C529" s="35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</row>
    <row r="530">
      <c r="A530" s="35"/>
      <c r="B530" s="35"/>
      <c r="C530" s="35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</row>
    <row r="531">
      <c r="A531" s="35"/>
      <c r="B531" s="35"/>
      <c r="C531" s="35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</row>
    <row r="532">
      <c r="A532" s="35"/>
      <c r="B532" s="35"/>
      <c r="C532" s="35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</row>
    <row r="533">
      <c r="A533" s="35"/>
      <c r="B533" s="35"/>
      <c r="C533" s="35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</row>
    <row r="534">
      <c r="A534" s="35"/>
      <c r="B534" s="35"/>
      <c r="C534" s="35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</row>
    <row r="535">
      <c r="A535" s="35"/>
      <c r="B535" s="35"/>
      <c r="C535" s="35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</row>
    <row r="536">
      <c r="A536" s="35"/>
      <c r="B536" s="35"/>
      <c r="C536" s="35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</row>
    <row r="537">
      <c r="A537" s="35"/>
      <c r="B537" s="35"/>
      <c r="C537" s="35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</row>
    <row r="538">
      <c r="A538" s="35"/>
      <c r="B538" s="35"/>
      <c r="C538" s="35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</row>
    <row r="539">
      <c r="A539" s="35"/>
      <c r="B539" s="35"/>
      <c r="C539" s="35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</row>
    <row r="540">
      <c r="A540" s="35"/>
      <c r="B540" s="35"/>
      <c r="C540" s="35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</row>
    <row r="541">
      <c r="A541" s="35"/>
      <c r="B541" s="35"/>
      <c r="C541" s="35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</row>
    <row r="542">
      <c r="A542" s="35"/>
      <c r="B542" s="35"/>
      <c r="C542" s="35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</row>
    <row r="543">
      <c r="A543" s="35"/>
      <c r="B543" s="35"/>
      <c r="C543" s="35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</row>
    <row r="544">
      <c r="A544" s="35"/>
      <c r="B544" s="35"/>
      <c r="C544" s="35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</row>
    <row r="545">
      <c r="A545" s="35"/>
      <c r="B545" s="35"/>
      <c r="C545" s="35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</row>
    <row r="546">
      <c r="A546" s="35"/>
      <c r="B546" s="35"/>
      <c r="C546" s="35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</row>
    <row r="547">
      <c r="A547" s="35"/>
      <c r="B547" s="35"/>
      <c r="C547" s="35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</row>
    <row r="548">
      <c r="A548" s="35"/>
      <c r="B548" s="35"/>
      <c r="C548" s="35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</row>
    <row r="549">
      <c r="A549" s="35"/>
      <c r="B549" s="35"/>
      <c r="C549" s="35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</row>
    <row r="550">
      <c r="A550" s="35"/>
      <c r="B550" s="35"/>
      <c r="C550" s="35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</row>
    <row r="551">
      <c r="A551" s="35"/>
      <c r="B551" s="35"/>
      <c r="C551" s="35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</row>
    <row r="552">
      <c r="A552" s="35"/>
      <c r="B552" s="35"/>
      <c r="C552" s="35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</row>
    <row r="553">
      <c r="A553" s="35"/>
      <c r="B553" s="35"/>
      <c r="C553" s="35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</row>
    <row r="554">
      <c r="A554" s="35"/>
      <c r="B554" s="35"/>
      <c r="C554" s="35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</row>
    <row r="555">
      <c r="A555" s="35"/>
      <c r="B555" s="35"/>
      <c r="C555" s="35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</row>
    <row r="556">
      <c r="A556" s="35"/>
      <c r="B556" s="35"/>
      <c r="C556" s="35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</row>
    <row r="557">
      <c r="A557" s="35"/>
      <c r="B557" s="35"/>
      <c r="C557" s="35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</row>
    <row r="558">
      <c r="A558" s="35"/>
      <c r="B558" s="35"/>
      <c r="C558" s="35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</row>
    <row r="559">
      <c r="A559" s="35"/>
      <c r="B559" s="35"/>
      <c r="C559" s="35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</row>
    <row r="560">
      <c r="A560" s="35"/>
      <c r="B560" s="35"/>
      <c r="C560" s="35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</row>
    <row r="561">
      <c r="A561" s="35"/>
      <c r="B561" s="35"/>
      <c r="C561" s="35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</row>
    <row r="562">
      <c r="A562" s="35"/>
      <c r="B562" s="35"/>
      <c r="C562" s="35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</row>
    <row r="563">
      <c r="A563" s="35"/>
      <c r="B563" s="35"/>
      <c r="C563" s="35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</row>
    <row r="564">
      <c r="A564" s="35"/>
      <c r="B564" s="35"/>
      <c r="C564" s="35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</row>
    <row r="565">
      <c r="A565" s="35"/>
      <c r="B565" s="35"/>
      <c r="C565" s="35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</row>
    <row r="566">
      <c r="A566" s="35"/>
      <c r="B566" s="35"/>
      <c r="C566" s="35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</row>
    <row r="567">
      <c r="A567" s="35"/>
      <c r="B567" s="35"/>
      <c r="C567" s="35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</row>
    <row r="568">
      <c r="A568" s="35"/>
      <c r="B568" s="35"/>
      <c r="C568" s="35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</row>
    <row r="569">
      <c r="A569" s="35"/>
      <c r="B569" s="35"/>
      <c r="C569" s="35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</row>
    <row r="570">
      <c r="A570" s="35"/>
      <c r="B570" s="35"/>
      <c r="C570" s="35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</row>
    <row r="571">
      <c r="A571" s="35"/>
      <c r="B571" s="35"/>
      <c r="C571" s="35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</row>
    <row r="572">
      <c r="A572" s="35"/>
      <c r="B572" s="35"/>
      <c r="C572" s="35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</row>
    <row r="573">
      <c r="A573" s="35"/>
      <c r="B573" s="35"/>
      <c r="C573" s="35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</row>
    <row r="574">
      <c r="A574" s="35"/>
      <c r="B574" s="35"/>
      <c r="C574" s="35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</row>
    <row r="575">
      <c r="A575" s="35"/>
      <c r="B575" s="35"/>
      <c r="C575" s="35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</row>
    <row r="576">
      <c r="A576" s="35"/>
      <c r="B576" s="35"/>
      <c r="C576" s="35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</row>
    <row r="577">
      <c r="A577" s="35"/>
      <c r="B577" s="35"/>
      <c r="C577" s="35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</row>
    <row r="578">
      <c r="A578" s="35"/>
      <c r="B578" s="35"/>
      <c r="C578" s="35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</row>
    <row r="579">
      <c r="A579" s="35"/>
      <c r="B579" s="35"/>
      <c r="C579" s="35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</row>
    <row r="580">
      <c r="A580" s="35"/>
      <c r="B580" s="35"/>
      <c r="C580" s="35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</row>
    <row r="581">
      <c r="A581" s="35"/>
      <c r="B581" s="35"/>
      <c r="C581" s="35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</row>
    <row r="582">
      <c r="A582" s="35"/>
      <c r="B582" s="35"/>
      <c r="C582" s="35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</row>
    <row r="583">
      <c r="A583" s="35"/>
      <c r="B583" s="35"/>
      <c r="C583" s="35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</row>
    <row r="584">
      <c r="A584" s="35"/>
      <c r="B584" s="35"/>
      <c r="C584" s="35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</row>
    <row r="585">
      <c r="A585" s="35"/>
      <c r="B585" s="35"/>
      <c r="C585" s="35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</row>
    <row r="586">
      <c r="A586" s="35"/>
      <c r="B586" s="35"/>
      <c r="C586" s="35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</row>
    <row r="587">
      <c r="A587" s="35"/>
      <c r="B587" s="35"/>
      <c r="C587" s="35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</row>
    <row r="588">
      <c r="A588" s="35"/>
      <c r="B588" s="35"/>
      <c r="C588" s="35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</row>
    <row r="589">
      <c r="A589" s="35"/>
      <c r="B589" s="35"/>
      <c r="C589" s="35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</row>
    <row r="590">
      <c r="A590" s="35"/>
      <c r="B590" s="35"/>
      <c r="C590" s="35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</row>
    <row r="591">
      <c r="A591" s="35"/>
      <c r="B591" s="35"/>
      <c r="C591" s="35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</row>
    <row r="592">
      <c r="A592" s="35"/>
      <c r="B592" s="35"/>
      <c r="C592" s="35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</row>
    <row r="593">
      <c r="A593" s="35"/>
      <c r="B593" s="35"/>
      <c r="C593" s="35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</row>
    <row r="594">
      <c r="A594" s="35"/>
      <c r="B594" s="35"/>
      <c r="C594" s="35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</row>
    <row r="595">
      <c r="A595" s="35"/>
      <c r="B595" s="35"/>
      <c r="C595" s="35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</row>
    <row r="596">
      <c r="A596" s="35"/>
      <c r="B596" s="35"/>
      <c r="C596" s="35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</row>
    <row r="597">
      <c r="A597" s="35"/>
      <c r="B597" s="35"/>
      <c r="C597" s="35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</row>
    <row r="598">
      <c r="A598" s="35"/>
      <c r="B598" s="35"/>
      <c r="C598" s="35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</row>
    <row r="599">
      <c r="A599" s="35"/>
      <c r="B599" s="35"/>
      <c r="C599" s="35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</row>
    <row r="600">
      <c r="A600" s="35"/>
      <c r="B600" s="35"/>
      <c r="C600" s="35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</row>
    <row r="601">
      <c r="A601" s="35"/>
      <c r="B601" s="35"/>
      <c r="C601" s="35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</row>
    <row r="602">
      <c r="A602" s="35"/>
      <c r="B602" s="35"/>
      <c r="C602" s="35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</row>
    <row r="603">
      <c r="A603" s="35"/>
      <c r="B603" s="35"/>
      <c r="C603" s="35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</row>
    <row r="604">
      <c r="A604" s="35"/>
      <c r="B604" s="35"/>
      <c r="C604" s="35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</row>
    <row r="605">
      <c r="A605" s="35"/>
      <c r="B605" s="35"/>
      <c r="C605" s="35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</row>
    <row r="606">
      <c r="A606" s="35"/>
      <c r="B606" s="35"/>
      <c r="C606" s="35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</row>
    <row r="607">
      <c r="A607" s="35"/>
      <c r="B607" s="35"/>
      <c r="C607" s="35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</row>
    <row r="608">
      <c r="A608" s="35"/>
      <c r="B608" s="35"/>
      <c r="C608" s="35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</row>
    <row r="609">
      <c r="A609" s="35"/>
      <c r="B609" s="35"/>
      <c r="C609" s="35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</row>
    <row r="610">
      <c r="A610" s="35"/>
      <c r="B610" s="35"/>
      <c r="C610" s="35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</row>
    <row r="611">
      <c r="A611" s="35"/>
      <c r="B611" s="35"/>
      <c r="C611" s="35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</row>
    <row r="612">
      <c r="A612" s="35"/>
      <c r="B612" s="35"/>
      <c r="C612" s="35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</row>
    <row r="613">
      <c r="A613" s="35"/>
      <c r="B613" s="35"/>
      <c r="C613" s="35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</row>
    <row r="614">
      <c r="A614" s="35"/>
      <c r="B614" s="35"/>
      <c r="C614" s="35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</row>
    <row r="615">
      <c r="A615" s="35"/>
      <c r="B615" s="35"/>
      <c r="C615" s="35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</row>
    <row r="616">
      <c r="A616" s="35"/>
      <c r="B616" s="35"/>
      <c r="C616" s="35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</row>
    <row r="617">
      <c r="A617" s="35"/>
      <c r="B617" s="35"/>
      <c r="C617" s="35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</row>
    <row r="618">
      <c r="A618" s="35"/>
      <c r="B618" s="35"/>
      <c r="C618" s="35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</row>
    <row r="619">
      <c r="A619" s="35"/>
      <c r="B619" s="35"/>
      <c r="C619" s="35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</row>
    <row r="620">
      <c r="A620" s="35"/>
      <c r="B620" s="35"/>
      <c r="C620" s="35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</row>
    <row r="621">
      <c r="A621" s="35"/>
      <c r="B621" s="35"/>
      <c r="C621" s="35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</row>
    <row r="622">
      <c r="A622" s="35"/>
      <c r="B622" s="35"/>
      <c r="C622" s="35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</row>
    <row r="623">
      <c r="A623" s="35"/>
      <c r="B623" s="35"/>
      <c r="C623" s="35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</row>
    <row r="624">
      <c r="A624" s="35"/>
      <c r="B624" s="35"/>
      <c r="C624" s="35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</row>
    <row r="625">
      <c r="A625" s="35"/>
      <c r="B625" s="35"/>
      <c r="C625" s="35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</row>
    <row r="626">
      <c r="A626" s="35"/>
      <c r="B626" s="35"/>
      <c r="C626" s="35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</row>
    <row r="627">
      <c r="A627" s="35"/>
      <c r="B627" s="35"/>
      <c r="C627" s="35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</row>
    <row r="628">
      <c r="A628" s="35"/>
      <c r="B628" s="35"/>
      <c r="C628" s="35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</row>
    <row r="629">
      <c r="A629" s="35"/>
      <c r="B629" s="35"/>
      <c r="C629" s="35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</row>
    <row r="630">
      <c r="A630" s="35"/>
      <c r="B630" s="35"/>
      <c r="C630" s="35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</row>
    <row r="631">
      <c r="A631" s="35"/>
      <c r="B631" s="35"/>
      <c r="C631" s="35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</row>
    <row r="632">
      <c r="A632" s="35"/>
      <c r="B632" s="35"/>
      <c r="C632" s="35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</row>
    <row r="633">
      <c r="A633" s="35"/>
      <c r="B633" s="35"/>
      <c r="C633" s="35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</row>
    <row r="634">
      <c r="A634" s="35"/>
      <c r="B634" s="35"/>
      <c r="C634" s="35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</row>
    <row r="635">
      <c r="A635" s="35"/>
      <c r="B635" s="35"/>
      <c r="C635" s="35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</row>
    <row r="636">
      <c r="A636" s="35"/>
      <c r="B636" s="35"/>
      <c r="C636" s="35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</row>
    <row r="637">
      <c r="A637" s="35"/>
      <c r="B637" s="35"/>
      <c r="C637" s="35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</row>
    <row r="638">
      <c r="A638" s="35"/>
      <c r="B638" s="35"/>
      <c r="C638" s="35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</row>
    <row r="639">
      <c r="A639" s="35"/>
      <c r="B639" s="35"/>
      <c r="C639" s="35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</row>
    <row r="640">
      <c r="A640" s="35"/>
      <c r="B640" s="35"/>
      <c r="C640" s="35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</row>
    <row r="641">
      <c r="A641" s="35"/>
      <c r="B641" s="35"/>
      <c r="C641" s="35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</row>
    <row r="642">
      <c r="A642" s="35"/>
      <c r="B642" s="35"/>
      <c r="C642" s="35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</row>
    <row r="643">
      <c r="A643" s="35"/>
      <c r="B643" s="35"/>
      <c r="C643" s="35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</row>
    <row r="644">
      <c r="A644" s="35"/>
      <c r="B644" s="35"/>
      <c r="C644" s="35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</row>
    <row r="645">
      <c r="A645" s="35"/>
      <c r="B645" s="35"/>
      <c r="C645" s="35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</row>
    <row r="646">
      <c r="A646" s="35"/>
      <c r="B646" s="35"/>
      <c r="C646" s="35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</row>
    <row r="647">
      <c r="A647" s="35"/>
      <c r="B647" s="35"/>
      <c r="C647" s="35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</row>
    <row r="648">
      <c r="A648" s="35"/>
      <c r="B648" s="35"/>
      <c r="C648" s="35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</row>
    <row r="649">
      <c r="A649" s="35"/>
      <c r="B649" s="35"/>
      <c r="C649" s="35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</row>
    <row r="650">
      <c r="A650" s="35"/>
      <c r="B650" s="35"/>
      <c r="C650" s="35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</row>
    <row r="651">
      <c r="A651" s="35"/>
      <c r="B651" s="35"/>
      <c r="C651" s="35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</row>
    <row r="652">
      <c r="A652" s="35"/>
      <c r="B652" s="35"/>
      <c r="C652" s="35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</row>
    <row r="653">
      <c r="A653" s="35"/>
      <c r="B653" s="35"/>
      <c r="C653" s="35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</row>
    <row r="654">
      <c r="A654" s="35"/>
      <c r="B654" s="35"/>
      <c r="C654" s="35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</row>
    <row r="655">
      <c r="A655" s="35"/>
      <c r="B655" s="35"/>
      <c r="C655" s="35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</row>
    <row r="656">
      <c r="A656" s="35"/>
      <c r="B656" s="35"/>
      <c r="C656" s="35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</row>
    <row r="657">
      <c r="A657" s="35"/>
      <c r="B657" s="35"/>
      <c r="C657" s="35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</row>
    <row r="658">
      <c r="A658" s="35"/>
      <c r="B658" s="35"/>
      <c r="C658" s="35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</row>
    <row r="659">
      <c r="A659" s="35"/>
      <c r="B659" s="35"/>
      <c r="C659" s="35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</row>
    <row r="660">
      <c r="A660" s="35"/>
      <c r="B660" s="35"/>
      <c r="C660" s="35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</row>
    <row r="661">
      <c r="A661" s="35"/>
      <c r="B661" s="35"/>
      <c r="C661" s="35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</row>
    <row r="662">
      <c r="A662" s="35"/>
      <c r="B662" s="35"/>
      <c r="C662" s="35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</row>
    <row r="663">
      <c r="A663" s="35"/>
      <c r="B663" s="35"/>
      <c r="C663" s="35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</row>
    <row r="664">
      <c r="A664" s="35"/>
      <c r="B664" s="35"/>
      <c r="C664" s="35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</row>
    <row r="665">
      <c r="A665" s="35"/>
      <c r="B665" s="35"/>
      <c r="C665" s="35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</row>
    <row r="666">
      <c r="A666" s="35"/>
      <c r="B666" s="35"/>
      <c r="C666" s="35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</row>
    <row r="667">
      <c r="A667" s="35"/>
      <c r="B667" s="35"/>
      <c r="C667" s="35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</row>
    <row r="668">
      <c r="A668" s="35"/>
      <c r="B668" s="35"/>
      <c r="C668" s="35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</row>
    <row r="669">
      <c r="A669" s="35"/>
      <c r="B669" s="35"/>
      <c r="C669" s="35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</row>
    <row r="670">
      <c r="A670" s="35"/>
      <c r="B670" s="35"/>
      <c r="C670" s="35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</row>
    <row r="671">
      <c r="A671" s="35"/>
      <c r="B671" s="35"/>
      <c r="C671" s="35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</row>
    <row r="672">
      <c r="A672" s="35"/>
      <c r="B672" s="35"/>
      <c r="C672" s="35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</row>
    <row r="673">
      <c r="A673" s="35"/>
      <c r="B673" s="35"/>
      <c r="C673" s="35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</row>
    <row r="674">
      <c r="A674" s="35"/>
      <c r="B674" s="35"/>
      <c r="C674" s="35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</row>
    <row r="675">
      <c r="A675" s="35"/>
      <c r="B675" s="35"/>
      <c r="C675" s="35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</row>
    <row r="676">
      <c r="A676" s="35"/>
      <c r="B676" s="35"/>
      <c r="C676" s="35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</row>
    <row r="677">
      <c r="A677" s="35"/>
      <c r="B677" s="35"/>
      <c r="C677" s="35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</row>
    <row r="678">
      <c r="A678" s="35"/>
      <c r="B678" s="35"/>
      <c r="C678" s="35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</row>
    <row r="679">
      <c r="A679" s="35"/>
      <c r="B679" s="35"/>
      <c r="C679" s="35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</row>
    <row r="680">
      <c r="A680" s="35"/>
      <c r="B680" s="35"/>
      <c r="C680" s="35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</row>
    <row r="681">
      <c r="A681" s="35"/>
      <c r="B681" s="35"/>
      <c r="C681" s="35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</row>
    <row r="682">
      <c r="A682" s="35"/>
      <c r="B682" s="35"/>
      <c r="C682" s="35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</row>
    <row r="683">
      <c r="A683" s="35"/>
      <c r="B683" s="35"/>
      <c r="C683" s="35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</row>
    <row r="684">
      <c r="A684" s="35"/>
      <c r="B684" s="35"/>
      <c r="C684" s="35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</row>
    <row r="685">
      <c r="A685" s="35"/>
      <c r="B685" s="35"/>
      <c r="C685" s="35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</row>
    <row r="686">
      <c r="A686" s="35"/>
      <c r="B686" s="35"/>
      <c r="C686" s="35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</row>
    <row r="687">
      <c r="A687" s="35"/>
      <c r="B687" s="35"/>
      <c r="C687" s="35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</row>
    <row r="688">
      <c r="A688" s="35"/>
      <c r="B688" s="35"/>
      <c r="C688" s="35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</row>
    <row r="689">
      <c r="A689" s="35"/>
      <c r="B689" s="35"/>
      <c r="C689" s="35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</row>
    <row r="690">
      <c r="A690" s="35"/>
      <c r="B690" s="35"/>
      <c r="C690" s="35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</row>
    <row r="691">
      <c r="A691" s="35"/>
      <c r="B691" s="35"/>
      <c r="C691" s="35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</row>
    <row r="692">
      <c r="A692" s="35"/>
      <c r="B692" s="35"/>
      <c r="C692" s="35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</row>
    <row r="693">
      <c r="A693" s="35"/>
      <c r="B693" s="35"/>
      <c r="C693" s="35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</row>
    <row r="694">
      <c r="A694" s="35"/>
      <c r="B694" s="35"/>
      <c r="C694" s="35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</row>
    <row r="695">
      <c r="A695" s="35"/>
      <c r="B695" s="35"/>
      <c r="C695" s="35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</row>
    <row r="696">
      <c r="A696" s="35"/>
      <c r="B696" s="35"/>
      <c r="C696" s="35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</row>
    <row r="697">
      <c r="A697" s="35"/>
      <c r="B697" s="35"/>
      <c r="C697" s="35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</row>
    <row r="698">
      <c r="A698" s="35"/>
      <c r="B698" s="35"/>
      <c r="C698" s="35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</row>
    <row r="699">
      <c r="A699" s="35"/>
      <c r="B699" s="35"/>
      <c r="C699" s="35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</row>
    <row r="700">
      <c r="A700" s="35"/>
      <c r="B700" s="35"/>
      <c r="C700" s="35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</row>
    <row r="701">
      <c r="A701" s="35"/>
      <c r="B701" s="35"/>
      <c r="C701" s="35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</row>
    <row r="702">
      <c r="A702" s="35"/>
      <c r="B702" s="35"/>
      <c r="C702" s="35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</row>
    <row r="703">
      <c r="A703" s="35"/>
      <c r="B703" s="35"/>
      <c r="C703" s="35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</row>
    <row r="704">
      <c r="A704" s="35"/>
      <c r="B704" s="35"/>
      <c r="C704" s="35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</row>
    <row r="705">
      <c r="A705" s="35"/>
      <c r="B705" s="35"/>
      <c r="C705" s="35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</row>
    <row r="706">
      <c r="A706" s="35"/>
      <c r="B706" s="35"/>
      <c r="C706" s="35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</row>
    <row r="707">
      <c r="A707" s="35"/>
      <c r="B707" s="35"/>
      <c r="C707" s="35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</row>
    <row r="708">
      <c r="A708" s="35"/>
      <c r="B708" s="35"/>
      <c r="C708" s="35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</row>
    <row r="709">
      <c r="A709" s="35"/>
      <c r="B709" s="35"/>
      <c r="C709" s="35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</row>
    <row r="710">
      <c r="A710" s="35"/>
      <c r="B710" s="35"/>
      <c r="C710" s="35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</row>
    <row r="711">
      <c r="A711" s="35"/>
      <c r="B711" s="35"/>
      <c r="C711" s="35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</row>
    <row r="712">
      <c r="A712" s="35"/>
      <c r="B712" s="35"/>
      <c r="C712" s="35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</row>
    <row r="713">
      <c r="A713" s="35"/>
      <c r="B713" s="35"/>
      <c r="C713" s="35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</row>
    <row r="714">
      <c r="A714" s="35"/>
      <c r="B714" s="35"/>
      <c r="C714" s="35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</row>
    <row r="715">
      <c r="A715" s="35"/>
      <c r="B715" s="35"/>
      <c r="C715" s="35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</row>
    <row r="716">
      <c r="A716" s="35"/>
      <c r="B716" s="35"/>
      <c r="C716" s="35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</row>
    <row r="717">
      <c r="A717" s="35"/>
      <c r="B717" s="35"/>
      <c r="C717" s="35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</row>
    <row r="718">
      <c r="A718" s="35"/>
      <c r="B718" s="35"/>
      <c r="C718" s="35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</row>
    <row r="719">
      <c r="A719" s="35"/>
      <c r="B719" s="35"/>
      <c r="C719" s="35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</row>
    <row r="720">
      <c r="A720" s="35"/>
      <c r="B720" s="35"/>
      <c r="C720" s="35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</row>
    <row r="721">
      <c r="A721" s="35"/>
      <c r="B721" s="35"/>
      <c r="C721" s="35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</row>
    <row r="722">
      <c r="A722" s="35"/>
      <c r="B722" s="35"/>
      <c r="C722" s="35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</row>
    <row r="723">
      <c r="A723" s="35"/>
      <c r="B723" s="35"/>
      <c r="C723" s="35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</row>
    <row r="724">
      <c r="A724" s="35"/>
      <c r="B724" s="35"/>
      <c r="C724" s="35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</row>
    <row r="725">
      <c r="A725" s="35"/>
      <c r="B725" s="35"/>
      <c r="C725" s="35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</row>
    <row r="726">
      <c r="A726" s="35"/>
      <c r="B726" s="35"/>
      <c r="C726" s="35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</row>
    <row r="727">
      <c r="A727" s="35"/>
      <c r="B727" s="35"/>
      <c r="C727" s="35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</row>
    <row r="728">
      <c r="A728" s="35"/>
      <c r="B728" s="35"/>
      <c r="C728" s="35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</row>
    <row r="729">
      <c r="A729" s="35"/>
      <c r="B729" s="35"/>
      <c r="C729" s="35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</row>
    <row r="730">
      <c r="A730" s="35"/>
      <c r="B730" s="35"/>
      <c r="C730" s="35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</row>
    <row r="731">
      <c r="A731" s="35"/>
      <c r="B731" s="35"/>
      <c r="C731" s="35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</row>
    <row r="732">
      <c r="A732" s="35"/>
      <c r="B732" s="35"/>
      <c r="C732" s="35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</row>
    <row r="733">
      <c r="A733" s="35"/>
      <c r="B733" s="35"/>
      <c r="C733" s="35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</row>
    <row r="734">
      <c r="A734" s="35"/>
      <c r="B734" s="35"/>
      <c r="C734" s="35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</row>
    <row r="735">
      <c r="A735" s="35"/>
      <c r="B735" s="35"/>
      <c r="C735" s="35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</row>
    <row r="736">
      <c r="A736" s="35"/>
      <c r="B736" s="35"/>
      <c r="C736" s="35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</row>
    <row r="737">
      <c r="A737" s="35"/>
      <c r="B737" s="35"/>
      <c r="C737" s="35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</row>
    <row r="738">
      <c r="A738" s="35"/>
      <c r="B738" s="35"/>
      <c r="C738" s="35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</row>
    <row r="739">
      <c r="A739" s="35"/>
      <c r="B739" s="35"/>
      <c r="C739" s="35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</row>
    <row r="740">
      <c r="A740" s="35"/>
      <c r="B740" s="35"/>
      <c r="C740" s="35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</row>
    <row r="741">
      <c r="A741" s="35"/>
      <c r="B741" s="35"/>
      <c r="C741" s="35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</row>
    <row r="742">
      <c r="A742" s="35"/>
      <c r="B742" s="35"/>
      <c r="C742" s="35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</row>
    <row r="743">
      <c r="A743" s="35"/>
      <c r="B743" s="35"/>
      <c r="C743" s="35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</row>
    <row r="744">
      <c r="A744" s="35"/>
      <c r="B744" s="35"/>
      <c r="C744" s="35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</row>
    <row r="745">
      <c r="A745" s="35"/>
      <c r="B745" s="35"/>
      <c r="C745" s="35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</row>
    <row r="746">
      <c r="A746" s="35"/>
      <c r="B746" s="35"/>
      <c r="C746" s="35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</row>
    <row r="747">
      <c r="A747" s="35"/>
      <c r="B747" s="35"/>
      <c r="C747" s="35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</row>
    <row r="748">
      <c r="A748" s="35"/>
      <c r="B748" s="35"/>
      <c r="C748" s="35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</row>
    <row r="749">
      <c r="A749" s="35"/>
      <c r="B749" s="35"/>
      <c r="C749" s="35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</row>
    <row r="750">
      <c r="A750" s="35"/>
      <c r="B750" s="35"/>
      <c r="C750" s="35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</row>
    <row r="751">
      <c r="A751" s="35"/>
      <c r="B751" s="35"/>
      <c r="C751" s="35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</row>
    <row r="752">
      <c r="A752" s="35"/>
      <c r="B752" s="35"/>
      <c r="C752" s="35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</row>
    <row r="753">
      <c r="A753" s="35"/>
      <c r="B753" s="35"/>
      <c r="C753" s="35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</row>
    <row r="754">
      <c r="A754" s="35"/>
      <c r="B754" s="35"/>
      <c r="C754" s="35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</row>
    <row r="755">
      <c r="A755" s="35"/>
      <c r="B755" s="35"/>
      <c r="C755" s="35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</row>
    <row r="756">
      <c r="A756" s="35"/>
      <c r="B756" s="35"/>
      <c r="C756" s="35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</row>
    <row r="757">
      <c r="A757" s="35"/>
      <c r="B757" s="35"/>
      <c r="C757" s="35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</row>
    <row r="758">
      <c r="A758" s="35"/>
      <c r="B758" s="35"/>
      <c r="C758" s="35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</row>
    <row r="759">
      <c r="A759" s="35"/>
      <c r="B759" s="35"/>
      <c r="C759" s="35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</row>
    <row r="760">
      <c r="A760" s="35"/>
      <c r="B760" s="35"/>
      <c r="C760" s="35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</row>
    <row r="761">
      <c r="A761" s="35"/>
      <c r="B761" s="35"/>
      <c r="C761" s="35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</row>
    <row r="762">
      <c r="A762" s="35"/>
      <c r="B762" s="35"/>
      <c r="C762" s="35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</row>
    <row r="763">
      <c r="A763" s="35"/>
      <c r="B763" s="35"/>
      <c r="C763" s="35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</row>
    <row r="764">
      <c r="A764" s="35"/>
      <c r="B764" s="35"/>
      <c r="C764" s="35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</row>
    <row r="765">
      <c r="A765" s="35"/>
      <c r="B765" s="35"/>
      <c r="C765" s="35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</row>
    <row r="766">
      <c r="A766" s="35"/>
      <c r="B766" s="35"/>
      <c r="C766" s="35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</row>
    <row r="767">
      <c r="A767" s="35"/>
      <c r="B767" s="35"/>
      <c r="C767" s="35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</row>
    <row r="768">
      <c r="A768" s="35"/>
      <c r="B768" s="35"/>
      <c r="C768" s="35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</row>
    <row r="769">
      <c r="A769" s="35"/>
      <c r="B769" s="35"/>
      <c r="C769" s="35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</row>
    <row r="770">
      <c r="A770" s="35"/>
      <c r="B770" s="35"/>
      <c r="C770" s="35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</row>
    <row r="771">
      <c r="A771" s="35"/>
      <c r="B771" s="35"/>
      <c r="C771" s="35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</row>
    <row r="772">
      <c r="A772" s="35"/>
      <c r="B772" s="35"/>
      <c r="C772" s="35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</row>
    <row r="773">
      <c r="A773" s="35"/>
      <c r="B773" s="35"/>
      <c r="C773" s="35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</row>
    <row r="774">
      <c r="A774" s="35"/>
      <c r="B774" s="35"/>
      <c r="C774" s="35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</row>
    <row r="775">
      <c r="A775" s="35"/>
      <c r="B775" s="35"/>
      <c r="C775" s="35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</row>
    <row r="776">
      <c r="A776" s="35"/>
      <c r="B776" s="35"/>
      <c r="C776" s="35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</row>
    <row r="777">
      <c r="A777" s="35"/>
      <c r="B777" s="35"/>
      <c r="C777" s="35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</row>
    <row r="778">
      <c r="A778" s="35"/>
      <c r="B778" s="35"/>
      <c r="C778" s="35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</row>
    <row r="779">
      <c r="A779" s="35"/>
      <c r="B779" s="35"/>
      <c r="C779" s="35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</row>
    <row r="780">
      <c r="A780" s="35"/>
      <c r="B780" s="35"/>
      <c r="C780" s="35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</row>
    <row r="781">
      <c r="A781" s="35"/>
      <c r="B781" s="35"/>
      <c r="C781" s="35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</row>
    <row r="782">
      <c r="A782" s="35"/>
      <c r="B782" s="35"/>
      <c r="C782" s="35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</row>
    <row r="783">
      <c r="A783" s="35"/>
      <c r="B783" s="35"/>
      <c r="C783" s="35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</row>
    <row r="784">
      <c r="A784" s="35"/>
      <c r="B784" s="35"/>
      <c r="C784" s="35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</row>
    <row r="785">
      <c r="A785" s="35"/>
      <c r="B785" s="35"/>
      <c r="C785" s="35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</row>
    <row r="786">
      <c r="A786" s="35"/>
      <c r="B786" s="35"/>
      <c r="C786" s="35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</row>
    <row r="787">
      <c r="A787" s="35"/>
      <c r="B787" s="35"/>
      <c r="C787" s="35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</row>
    <row r="788">
      <c r="A788" s="35"/>
      <c r="B788" s="35"/>
      <c r="C788" s="35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</row>
    <row r="789">
      <c r="A789" s="35"/>
      <c r="B789" s="35"/>
      <c r="C789" s="35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</row>
    <row r="790">
      <c r="A790" s="35"/>
      <c r="B790" s="35"/>
      <c r="C790" s="35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</row>
    <row r="791">
      <c r="A791" s="35"/>
      <c r="B791" s="35"/>
      <c r="C791" s="35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</row>
    <row r="792">
      <c r="A792" s="35"/>
      <c r="B792" s="35"/>
      <c r="C792" s="35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</row>
    <row r="793">
      <c r="A793" s="35"/>
      <c r="B793" s="35"/>
      <c r="C793" s="35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</row>
    <row r="794">
      <c r="A794" s="35"/>
      <c r="B794" s="35"/>
      <c r="C794" s="35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</row>
    <row r="795">
      <c r="A795" s="35"/>
      <c r="B795" s="35"/>
      <c r="C795" s="35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</row>
    <row r="796">
      <c r="A796" s="35"/>
      <c r="B796" s="35"/>
      <c r="C796" s="35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</row>
    <row r="797">
      <c r="A797" s="35"/>
      <c r="B797" s="35"/>
      <c r="C797" s="35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</row>
    <row r="798">
      <c r="A798" s="35"/>
      <c r="B798" s="35"/>
      <c r="C798" s="35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</row>
    <row r="799">
      <c r="A799" s="35"/>
      <c r="B799" s="35"/>
      <c r="C799" s="35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</row>
    <row r="800">
      <c r="A800" s="35"/>
      <c r="B800" s="35"/>
      <c r="C800" s="35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</row>
    <row r="801">
      <c r="A801" s="35"/>
      <c r="B801" s="35"/>
      <c r="C801" s="35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</row>
    <row r="802">
      <c r="A802" s="35"/>
      <c r="B802" s="35"/>
      <c r="C802" s="35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</row>
    <row r="803">
      <c r="A803" s="35"/>
      <c r="B803" s="35"/>
      <c r="C803" s="35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</row>
    <row r="804">
      <c r="A804" s="35"/>
      <c r="B804" s="35"/>
      <c r="C804" s="35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</row>
    <row r="805">
      <c r="A805" s="35"/>
      <c r="B805" s="35"/>
      <c r="C805" s="35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</row>
    <row r="806">
      <c r="A806" s="35"/>
      <c r="B806" s="35"/>
      <c r="C806" s="35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</row>
    <row r="807">
      <c r="A807" s="35"/>
      <c r="B807" s="35"/>
      <c r="C807" s="35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</row>
    <row r="808">
      <c r="A808" s="35"/>
      <c r="B808" s="35"/>
      <c r="C808" s="35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</row>
    <row r="809">
      <c r="A809" s="35"/>
      <c r="B809" s="35"/>
      <c r="C809" s="35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</row>
    <row r="810">
      <c r="A810" s="35"/>
      <c r="B810" s="35"/>
      <c r="C810" s="35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</row>
    <row r="811">
      <c r="A811" s="35"/>
      <c r="B811" s="35"/>
      <c r="C811" s="35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</row>
    <row r="812">
      <c r="A812" s="35"/>
      <c r="B812" s="35"/>
      <c r="C812" s="35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</row>
    <row r="813">
      <c r="A813" s="35"/>
      <c r="B813" s="35"/>
      <c r="C813" s="35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</row>
    <row r="814">
      <c r="A814" s="35"/>
      <c r="B814" s="35"/>
      <c r="C814" s="35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</row>
    <row r="815">
      <c r="A815" s="35"/>
      <c r="B815" s="35"/>
      <c r="C815" s="35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</row>
    <row r="816">
      <c r="A816" s="35"/>
      <c r="B816" s="35"/>
      <c r="C816" s="35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</row>
    <row r="817">
      <c r="A817" s="35"/>
      <c r="B817" s="35"/>
      <c r="C817" s="35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</row>
    <row r="818">
      <c r="A818" s="35"/>
      <c r="B818" s="35"/>
      <c r="C818" s="35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</row>
    <row r="819">
      <c r="A819" s="35"/>
      <c r="B819" s="35"/>
      <c r="C819" s="35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</row>
    <row r="820">
      <c r="A820" s="35"/>
      <c r="B820" s="35"/>
      <c r="C820" s="35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</row>
    <row r="821">
      <c r="A821" s="35"/>
      <c r="B821" s="35"/>
      <c r="C821" s="35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</row>
    <row r="822">
      <c r="A822" s="35"/>
      <c r="B822" s="35"/>
      <c r="C822" s="35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</row>
    <row r="823">
      <c r="A823" s="35"/>
      <c r="B823" s="35"/>
      <c r="C823" s="35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</row>
    <row r="824">
      <c r="A824" s="35"/>
      <c r="B824" s="35"/>
      <c r="C824" s="35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</row>
    <row r="825">
      <c r="A825" s="35"/>
      <c r="B825" s="35"/>
      <c r="C825" s="35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</row>
    <row r="826">
      <c r="A826" s="35"/>
      <c r="B826" s="35"/>
      <c r="C826" s="35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</row>
    <row r="827">
      <c r="A827" s="35"/>
      <c r="B827" s="35"/>
      <c r="C827" s="35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</row>
    <row r="828">
      <c r="A828" s="35"/>
      <c r="B828" s="35"/>
      <c r="C828" s="35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</row>
    <row r="829">
      <c r="A829" s="35"/>
      <c r="B829" s="35"/>
      <c r="C829" s="35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</row>
    <row r="830">
      <c r="A830" s="35"/>
      <c r="B830" s="35"/>
      <c r="C830" s="35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</row>
    <row r="831">
      <c r="A831" s="35"/>
      <c r="B831" s="35"/>
      <c r="C831" s="35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</row>
    <row r="832">
      <c r="A832" s="35"/>
      <c r="B832" s="35"/>
      <c r="C832" s="35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</row>
    <row r="833">
      <c r="A833" s="35"/>
      <c r="B833" s="35"/>
      <c r="C833" s="35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</row>
    <row r="834">
      <c r="A834" s="35"/>
      <c r="B834" s="35"/>
      <c r="C834" s="35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</row>
    <row r="835">
      <c r="A835" s="35"/>
      <c r="B835" s="35"/>
      <c r="C835" s="35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</row>
    <row r="836">
      <c r="A836" s="35"/>
      <c r="B836" s="35"/>
      <c r="C836" s="35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</row>
    <row r="837">
      <c r="A837" s="35"/>
      <c r="B837" s="35"/>
      <c r="C837" s="35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</row>
    <row r="838">
      <c r="A838" s="35"/>
      <c r="B838" s="35"/>
      <c r="C838" s="35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</row>
    <row r="839">
      <c r="A839" s="35"/>
      <c r="B839" s="35"/>
      <c r="C839" s="35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</row>
    <row r="840">
      <c r="A840" s="35"/>
      <c r="B840" s="35"/>
      <c r="C840" s="35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</row>
    <row r="841">
      <c r="A841" s="35"/>
      <c r="B841" s="35"/>
      <c r="C841" s="35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</row>
    <row r="842">
      <c r="A842" s="35"/>
      <c r="B842" s="35"/>
      <c r="C842" s="35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</row>
    <row r="843">
      <c r="A843" s="35"/>
      <c r="B843" s="35"/>
      <c r="C843" s="35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</row>
    <row r="844">
      <c r="A844" s="35"/>
      <c r="B844" s="35"/>
      <c r="C844" s="35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</row>
    <row r="845">
      <c r="A845" s="35"/>
      <c r="B845" s="35"/>
      <c r="C845" s="35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</row>
    <row r="846">
      <c r="A846" s="35"/>
      <c r="B846" s="35"/>
      <c r="C846" s="35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</row>
    <row r="847">
      <c r="A847" s="35"/>
      <c r="B847" s="35"/>
      <c r="C847" s="35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</row>
    <row r="848">
      <c r="A848" s="35"/>
      <c r="B848" s="35"/>
      <c r="C848" s="35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</row>
    <row r="849">
      <c r="A849" s="35"/>
      <c r="B849" s="35"/>
      <c r="C849" s="35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</row>
    <row r="850">
      <c r="A850" s="35"/>
      <c r="B850" s="35"/>
      <c r="C850" s="35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</row>
    <row r="851">
      <c r="A851" s="35"/>
      <c r="B851" s="35"/>
      <c r="C851" s="35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</row>
    <row r="852">
      <c r="A852" s="35"/>
      <c r="B852" s="35"/>
      <c r="C852" s="35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</row>
    <row r="853">
      <c r="A853" s="35"/>
      <c r="B853" s="35"/>
      <c r="C853" s="35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</row>
    <row r="854">
      <c r="A854" s="35"/>
      <c r="B854" s="35"/>
      <c r="C854" s="35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</row>
    <row r="855">
      <c r="A855" s="35"/>
      <c r="B855" s="35"/>
      <c r="C855" s="35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</row>
    <row r="856">
      <c r="A856" s="35"/>
      <c r="B856" s="35"/>
      <c r="C856" s="35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</row>
    <row r="857">
      <c r="A857" s="35"/>
      <c r="B857" s="35"/>
      <c r="C857" s="35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</row>
    <row r="858">
      <c r="A858" s="35"/>
      <c r="B858" s="35"/>
      <c r="C858" s="35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</row>
    <row r="859">
      <c r="A859" s="35"/>
      <c r="B859" s="35"/>
      <c r="C859" s="35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</row>
    <row r="860">
      <c r="A860" s="35"/>
      <c r="B860" s="35"/>
      <c r="C860" s="35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</row>
    <row r="861">
      <c r="A861" s="35"/>
      <c r="B861" s="35"/>
      <c r="C861" s="35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</row>
    <row r="862">
      <c r="A862" s="35"/>
      <c r="B862" s="35"/>
      <c r="C862" s="35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</row>
    <row r="863">
      <c r="A863" s="35"/>
      <c r="B863" s="35"/>
      <c r="C863" s="35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</row>
    <row r="864">
      <c r="A864" s="35"/>
      <c r="B864" s="35"/>
      <c r="C864" s="35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</row>
    <row r="865">
      <c r="A865" s="35"/>
      <c r="B865" s="35"/>
      <c r="C865" s="35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</row>
    <row r="866">
      <c r="A866" s="35"/>
      <c r="B866" s="35"/>
      <c r="C866" s="35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</row>
    <row r="867">
      <c r="A867" s="35"/>
      <c r="B867" s="35"/>
      <c r="C867" s="35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</row>
    <row r="868">
      <c r="A868" s="35"/>
      <c r="B868" s="35"/>
      <c r="C868" s="35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</row>
    <row r="869">
      <c r="A869" s="35"/>
      <c r="B869" s="35"/>
      <c r="C869" s="35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</row>
    <row r="870">
      <c r="A870" s="35"/>
      <c r="B870" s="35"/>
      <c r="C870" s="35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</row>
    <row r="871">
      <c r="A871" s="35"/>
      <c r="B871" s="35"/>
      <c r="C871" s="35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</row>
    <row r="872">
      <c r="A872" s="35"/>
      <c r="B872" s="35"/>
      <c r="C872" s="35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</row>
    <row r="873">
      <c r="A873" s="35"/>
      <c r="B873" s="35"/>
      <c r="C873" s="35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</row>
    <row r="874">
      <c r="A874" s="35"/>
      <c r="B874" s="35"/>
      <c r="C874" s="35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</row>
    <row r="875">
      <c r="A875" s="35"/>
      <c r="B875" s="35"/>
      <c r="C875" s="35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</row>
    <row r="876">
      <c r="A876" s="35"/>
      <c r="B876" s="35"/>
      <c r="C876" s="35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</row>
    <row r="877">
      <c r="A877" s="35"/>
      <c r="B877" s="35"/>
      <c r="C877" s="35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</row>
    <row r="878">
      <c r="A878" s="35"/>
      <c r="B878" s="35"/>
      <c r="C878" s="35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</row>
    <row r="879">
      <c r="A879" s="35"/>
      <c r="B879" s="35"/>
      <c r="C879" s="35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</row>
    <row r="880">
      <c r="A880" s="35"/>
      <c r="B880" s="35"/>
      <c r="C880" s="35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</row>
    <row r="881">
      <c r="A881" s="35"/>
      <c r="B881" s="35"/>
      <c r="C881" s="35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</row>
    <row r="882">
      <c r="A882" s="35"/>
      <c r="B882" s="35"/>
      <c r="C882" s="35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</row>
    <row r="883">
      <c r="A883" s="35"/>
      <c r="B883" s="35"/>
      <c r="C883" s="35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</row>
    <row r="884">
      <c r="A884" s="35"/>
      <c r="B884" s="35"/>
      <c r="C884" s="35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</row>
    <row r="885">
      <c r="A885" s="35"/>
      <c r="B885" s="35"/>
      <c r="C885" s="35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</row>
    <row r="886">
      <c r="A886" s="35"/>
      <c r="B886" s="35"/>
      <c r="C886" s="35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</row>
    <row r="887">
      <c r="A887" s="35"/>
      <c r="B887" s="35"/>
      <c r="C887" s="35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</row>
    <row r="888">
      <c r="A888" s="35"/>
      <c r="B888" s="35"/>
      <c r="C888" s="35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</row>
    <row r="889">
      <c r="A889" s="35"/>
      <c r="B889" s="35"/>
      <c r="C889" s="35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</row>
    <row r="890">
      <c r="A890" s="35"/>
      <c r="B890" s="35"/>
      <c r="C890" s="35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</row>
    <row r="891">
      <c r="A891" s="35"/>
      <c r="B891" s="35"/>
      <c r="C891" s="35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</row>
    <row r="892">
      <c r="A892" s="35"/>
      <c r="B892" s="35"/>
      <c r="C892" s="35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</row>
    <row r="893">
      <c r="A893" s="35"/>
      <c r="B893" s="35"/>
      <c r="C893" s="35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</row>
    <row r="894">
      <c r="A894" s="35"/>
      <c r="B894" s="35"/>
      <c r="C894" s="35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</row>
    <row r="895">
      <c r="A895" s="35"/>
      <c r="B895" s="35"/>
      <c r="C895" s="35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</row>
    <row r="896">
      <c r="A896" s="35"/>
      <c r="B896" s="35"/>
      <c r="C896" s="35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</row>
    <row r="897">
      <c r="A897" s="35"/>
      <c r="B897" s="35"/>
      <c r="C897" s="35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</row>
    <row r="898">
      <c r="A898" s="35"/>
      <c r="B898" s="35"/>
      <c r="C898" s="35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</row>
    <row r="899">
      <c r="A899" s="35"/>
      <c r="B899" s="35"/>
      <c r="C899" s="35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</row>
    <row r="900">
      <c r="A900" s="35"/>
      <c r="B900" s="35"/>
      <c r="C900" s="35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</row>
    <row r="901">
      <c r="A901" s="35"/>
      <c r="B901" s="35"/>
      <c r="C901" s="35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</row>
    <row r="902">
      <c r="A902" s="35"/>
      <c r="B902" s="35"/>
      <c r="C902" s="35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</row>
    <row r="903">
      <c r="A903" s="35"/>
      <c r="B903" s="35"/>
      <c r="C903" s="35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</row>
    <row r="904">
      <c r="A904" s="35"/>
      <c r="B904" s="35"/>
      <c r="C904" s="35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</row>
    <row r="905">
      <c r="A905" s="35"/>
      <c r="B905" s="35"/>
      <c r="C905" s="35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</row>
    <row r="906">
      <c r="A906" s="35"/>
      <c r="B906" s="35"/>
      <c r="C906" s="35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</row>
    <row r="907">
      <c r="A907" s="35"/>
      <c r="B907" s="35"/>
      <c r="C907" s="35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</row>
    <row r="908">
      <c r="A908" s="35"/>
      <c r="B908" s="35"/>
      <c r="C908" s="35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</row>
    <row r="909">
      <c r="A909" s="35"/>
      <c r="B909" s="35"/>
      <c r="C909" s="35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</row>
    <row r="910">
      <c r="A910" s="35"/>
      <c r="B910" s="35"/>
      <c r="C910" s="35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</row>
    <row r="911">
      <c r="A911" s="35"/>
      <c r="B911" s="35"/>
      <c r="C911" s="35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</row>
    <row r="912">
      <c r="A912" s="35"/>
      <c r="B912" s="35"/>
      <c r="C912" s="35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</row>
    <row r="913">
      <c r="A913" s="35"/>
      <c r="B913" s="35"/>
      <c r="C913" s="35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</row>
    <row r="914">
      <c r="A914" s="35"/>
      <c r="B914" s="35"/>
      <c r="C914" s="35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</row>
    <row r="915">
      <c r="A915" s="35"/>
      <c r="B915" s="35"/>
      <c r="C915" s="35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</row>
    <row r="916">
      <c r="A916" s="35"/>
      <c r="B916" s="35"/>
      <c r="C916" s="35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</row>
    <row r="917">
      <c r="A917" s="35"/>
      <c r="B917" s="35"/>
      <c r="C917" s="35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</row>
    <row r="918">
      <c r="A918" s="35"/>
      <c r="B918" s="35"/>
      <c r="C918" s="35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</row>
    <row r="919">
      <c r="A919" s="35"/>
      <c r="B919" s="35"/>
      <c r="C919" s="35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</row>
    <row r="920">
      <c r="A920" s="35"/>
      <c r="B920" s="35"/>
      <c r="C920" s="35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</row>
    <row r="921">
      <c r="A921" s="35"/>
      <c r="B921" s="35"/>
      <c r="C921" s="35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</row>
    <row r="922">
      <c r="A922" s="35"/>
      <c r="B922" s="35"/>
      <c r="C922" s="35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</row>
    <row r="923">
      <c r="A923" s="35"/>
      <c r="B923" s="35"/>
      <c r="C923" s="35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</row>
    <row r="924">
      <c r="A924" s="35"/>
      <c r="B924" s="35"/>
      <c r="C924" s="35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</row>
    <row r="925">
      <c r="A925" s="35"/>
      <c r="B925" s="35"/>
      <c r="C925" s="35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</row>
    <row r="926">
      <c r="A926" s="35"/>
      <c r="B926" s="35"/>
      <c r="C926" s="35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</row>
    <row r="927">
      <c r="A927" s="35"/>
      <c r="B927" s="35"/>
      <c r="C927" s="35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</row>
    <row r="928">
      <c r="A928" s="35"/>
      <c r="B928" s="35"/>
      <c r="C928" s="35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</row>
    <row r="929">
      <c r="A929" s="35"/>
      <c r="B929" s="35"/>
      <c r="C929" s="35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</row>
    <row r="930">
      <c r="A930" s="35"/>
      <c r="B930" s="35"/>
      <c r="C930" s="35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</row>
    <row r="931">
      <c r="A931" s="35"/>
      <c r="B931" s="35"/>
      <c r="C931" s="35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</row>
    <row r="932">
      <c r="A932" s="35"/>
      <c r="B932" s="35"/>
      <c r="C932" s="35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</row>
    <row r="933">
      <c r="A933" s="35"/>
      <c r="B933" s="35"/>
      <c r="C933" s="35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</row>
    <row r="934">
      <c r="A934" s="35"/>
      <c r="B934" s="35"/>
      <c r="C934" s="35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</row>
    <row r="935">
      <c r="A935" s="35"/>
      <c r="B935" s="35"/>
      <c r="C935" s="35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</row>
    <row r="936">
      <c r="A936" s="35"/>
      <c r="B936" s="35"/>
      <c r="C936" s="35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</row>
    <row r="937">
      <c r="A937" s="35"/>
      <c r="B937" s="35"/>
      <c r="C937" s="35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</row>
    <row r="938">
      <c r="A938" s="35"/>
      <c r="B938" s="35"/>
      <c r="C938" s="35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</row>
    <row r="939">
      <c r="A939" s="35"/>
      <c r="B939" s="35"/>
      <c r="C939" s="35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</row>
    <row r="940">
      <c r="A940" s="35"/>
      <c r="B940" s="35"/>
      <c r="C940" s="35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</row>
    <row r="941">
      <c r="A941" s="35"/>
      <c r="B941" s="35"/>
      <c r="C941" s="35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</row>
    <row r="942">
      <c r="A942" s="35"/>
      <c r="B942" s="35"/>
      <c r="C942" s="35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</row>
    <row r="943">
      <c r="A943" s="35"/>
      <c r="B943" s="35"/>
      <c r="C943" s="35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</row>
    <row r="944">
      <c r="A944" s="35"/>
      <c r="B944" s="35"/>
      <c r="C944" s="35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</row>
    <row r="945">
      <c r="A945" s="35"/>
      <c r="B945" s="35"/>
      <c r="C945" s="35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</row>
    <row r="946">
      <c r="A946" s="35"/>
      <c r="B946" s="35"/>
      <c r="C946" s="35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</row>
    <row r="947">
      <c r="A947" s="35"/>
      <c r="B947" s="35"/>
      <c r="C947" s="35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</row>
    <row r="948">
      <c r="A948" s="35"/>
      <c r="B948" s="35"/>
      <c r="C948" s="35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</row>
    <row r="949">
      <c r="A949" s="35"/>
      <c r="B949" s="35"/>
      <c r="C949" s="35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</row>
    <row r="950">
      <c r="A950" s="35"/>
      <c r="B950" s="35"/>
      <c r="C950" s="35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</row>
    <row r="951">
      <c r="A951" s="35"/>
      <c r="B951" s="35"/>
      <c r="C951" s="35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</row>
    <row r="952">
      <c r="A952" s="35"/>
      <c r="B952" s="35"/>
      <c r="C952" s="35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</row>
    <row r="953">
      <c r="A953" s="35"/>
      <c r="B953" s="35"/>
      <c r="C953" s="35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</row>
    <row r="954">
      <c r="A954" s="35"/>
      <c r="B954" s="35"/>
      <c r="C954" s="35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</row>
    <row r="955">
      <c r="A955" s="35"/>
      <c r="B955" s="35"/>
      <c r="C955" s="35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</row>
    <row r="956">
      <c r="A956" s="35"/>
      <c r="B956" s="35"/>
      <c r="C956" s="35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</row>
    <row r="957">
      <c r="A957" s="35"/>
      <c r="B957" s="35"/>
      <c r="C957" s="35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</row>
    <row r="958">
      <c r="A958" s="35"/>
      <c r="B958" s="35"/>
      <c r="C958" s="35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</row>
    <row r="959">
      <c r="A959" s="35"/>
      <c r="B959" s="35"/>
      <c r="C959" s="35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</row>
    <row r="960">
      <c r="A960" s="35"/>
      <c r="B960" s="35"/>
      <c r="C960" s="35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</row>
    <row r="961">
      <c r="A961" s="35"/>
      <c r="B961" s="35"/>
      <c r="C961" s="35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</row>
    <row r="962">
      <c r="A962" s="35"/>
      <c r="B962" s="35"/>
      <c r="C962" s="35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</row>
    <row r="963">
      <c r="A963" s="35"/>
      <c r="B963" s="35"/>
      <c r="C963" s="35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</row>
    <row r="964">
      <c r="A964" s="35"/>
      <c r="B964" s="35"/>
      <c r="C964" s="35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</row>
    <row r="965">
      <c r="A965" s="35"/>
      <c r="B965" s="35"/>
      <c r="C965" s="35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</row>
    <row r="966">
      <c r="A966" s="35"/>
      <c r="B966" s="35"/>
      <c r="C966" s="35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</row>
    <row r="967">
      <c r="A967" s="35"/>
      <c r="B967" s="35"/>
      <c r="C967" s="35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</row>
    <row r="968">
      <c r="A968" s="35"/>
      <c r="B968" s="35"/>
      <c r="C968" s="35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</row>
    <row r="969">
      <c r="A969" s="35"/>
      <c r="B969" s="35"/>
      <c r="C969" s="35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</row>
    <row r="970">
      <c r="A970" s="35"/>
      <c r="B970" s="35"/>
      <c r="C970" s="35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</row>
    <row r="971">
      <c r="A971" s="35"/>
      <c r="B971" s="35"/>
      <c r="C971" s="35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</row>
    <row r="972">
      <c r="A972" s="35"/>
      <c r="B972" s="35"/>
      <c r="C972" s="35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</row>
    <row r="973">
      <c r="A973" s="35"/>
      <c r="B973" s="35"/>
      <c r="C973" s="35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</row>
    <row r="974">
      <c r="A974" s="35"/>
      <c r="B974" s="35"/>
      <c r="C974" s="35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</row>
    <row r="975">
      <c r="A975" s="35"/>
      <c r="B975" s="35"/>
      <c r="C975" s="35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</row>
    <row r="976">
      <c r="A976" s="35"/>
      <c r="B976" s="35"/>
      <c r="C976" s="35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</row>
  </sheetData>
  <mergeCells count="24">
    <mergeCell ref="K5:K6"/>
    <mergeCell ref="L5:L6"/>
    <mergeCell ref="B1:O4"/>
    <mergeCell ref="A5:A6"/>
    <mergeCell ref="B5:B6"/>
    <mergeCell ref="C5:C6"/>
    <mergeCell ref="D5:D6"/>
    <mergeCell ref="E5:I5"/>
    <mergeCell ref="J5:J6"/>
    <mergeCell ref="O5:O6"/>
    <mergeCell ref="E33:I33"/>
    <mergeCell ref="J33:J34"/>
    <mergeCell ref="K33:K34"/>
    <mergeCell ref="L33:L34"/>
    <mergeCell ref="M33:M34"/>
    <mergeCell ref="N33:N34"/>
    <mergeCell ref="M5:M6"/>
    <mergeCell ref="N5:N6"/>
    <mergeCell ref="B29:O32"/>
    <mergeCell ref="A33:A34"/>
    <mergeCell ref="B33:B34"/>
    <mergeCell ref="C33:C34"/>
    <mergeCell ref="D33:D34"/>
    <mergeCell ref="O33:O34"/>
  </mergeCells>
  <conditionalFormatting sqref="K7:K27 M7:M27 K35:K55 M35:M55">
    <cfRule type="cellIs" dxfId="0" priority="1" operator="between">
      <formula>"0%"</formula>
      <formula>"79.99%"</formula>
    </cfRule>
  </conditionalFormatting>
  <conditionalFormatting sqref="K7:K27 M7:M27 K35:K55 M35:M55">
    <cfRule type="cellIs" dxfId="1" priority="2" operator="between">
      <formula>"80%"</formula>
      <formula>"99.99%"</formula>
    </cfRule>
  </conditionalFormatting>
  <conditionalFormatting sqref="K7:K27 M7:M27 K35:K55 M35:M55">
    <cfRule type="cellIs" dxfId="2" priority="3" operator="between">
      <formula>"100%"</formula>
      <formula>"500%"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5.13"/>
    <col customWidth="1" min="3" max="3" width="22.88"/>
    <col customWidth="1" min="4" max="5" width="15.13"/>
    <col customWidth="1" min="10" max="10" width="13.63"/>
    <col customWidth="1" min="13" max="13" width="13.63"/>
    <col customWidth="1" min="16" max="16" width="24.0"/>
    <col customWidth="1" min="17" max="17" width="14.88"/>
  </cols>
  <sheetData>
    <row r="1" ht="14.25" customHeight="1">
      <c r="A1" s="69" t="s">
        <v>0</v>
      </c>
      <c r="B1" s="42" t="s">
        <v>144</v>
      </c>
    </row>
    <row r="2" ht="11.25" customHeight="1">
      <c r="A2" s="3"/>
    </row>
    <row r="3">
      <c r="A3" s="3"/>
    </row>
    <row r="4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>
      <c r="A5" s="5" t="s">
        <v>2</v>
      </c>
      <c r="B5" s="5" t="s">
        <v>3</v>
      </c>
      <c r="C5" s="5" t="s">
        <v>4</v>
      </c>
      <c r="D5" s="6" t="s">
        <v>5</v>
      </c>
      <c r="E5" s="7" t="s">
        <v>6</v>
      </c>
      <c r="F5" s="4"/>
      <c r="G5" s="4"/>
      <c r="H5" s="4"/>
      <c r="I5" s="8"/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12</v>
      </c>
    </row>
    <row r="6">
      <c r="A6" s="8"/>
      <c r="B6" s="8"/>
      <c r="C6" s="8"/>
      <c r="D6" s="8"/>
      <c r="E6" s="9" t="s">
        <v>13</v>
      </c>
      <c r="F6" s="6" t="s">
        <v>14</v>
      </c>
      <c r="G6" s="9" t="s">
        <v>15</v>
      </c>
      <c r="H6" s="9" t="s">
        <v>16</v>
      </c>
      <c r="I6" s="9" t="s">
        <v>17</v>
      </c>
      <c r="J6" s="8"/>
      <c r="K6" s="8"/>
      <c r="L6" s="8"/>
      <c r="M6" s="8"/>
      <c r="N6" s="8"/>
      <c r="O6" s="8"/>
    </row>
    <row r="7">
      <c r="A7" s="10">
        <v>100.0</v>
      </c>
      <c r="B7" s="11" t="s">
        <v>18</v>
      </c>
      <c r="C7" s="11" t="s">
        <v>19</v>
      </c>
      <c r="D7" s="12">
        <f>902500000/90%</f>
        <v>1002777778</v>
      </c>
      <c r="E7" s="96">
        <v>2.2517817986E8</v>
      </c>
      <c r="F7" s="97">
        <v>1.9723083301E8</v>
      </c>
      <c r="G7" s="94">
        <v>2.8983734777E8</v>
      </c>
      <c r="H7" s="13">
        <v>3.1709745028E8</v>
      </c>
      <c r="I7" s="13">
        <v>4.640993098E7</v>
      </c>
      <c r="J7" s="14">
        <f t="shared" ref="J7:J9" si="1">SUM(E7:I7)</f>
        <v>1075753742</v>
      </c>
      <c r="K7" s="15">
        <f t="shared" ref="K7:K26" si="2">J7/D7</f>
        <v>1.072773815</v>
      </c>
      <c r="L7" s="16">
        <f t="shared" ref="L7:L9" si="3">J7/O7*N7</f>
        <v>1075753742</v>
      </c>
      <c r="M7" s="59">
        <f t="shared" ref="M7:M9" si="4">L7/D7</f>
        <v>1.072773815</v>
      </c>
      <c r="N7" s="18">
        <v>21.0</v>
      </c>
      <c r="O7" s="19">
        <v>21.0</v>
      </c>
      <c r="P7" s="20" t="s">
        <v>145</v>
      </c>
      <c r="Q7" s="47"/>
      <c r="R7" s="91"/>
    </row>
    <row r="8">
      <c r="A8" s="10">
        <v>6.0</v>
      </c>
      <c r="B8" s="11" t="s">
        <v>21</v>
      </c>
      <c r="C8" s="11" t="s">
        <v>19</v>
      </c>
      <c r="D8" s="12">
        <f>72000000/90%</f>
        <v>80000000</v>
      </c>
      <c r="E8" s="96">
        <v>1.496233219E7</v>
      </c>
      <c r="F8" s="97">
        <v>8609403.33</v>
      </c>
      <c r="G8" s="94">
        <v>1.411267506E7</v>
      </c>
      <c r="H8" s="13">
        <v>2.931686781E7</v>
      </c>
      <c r="I8" s="12">
        <v>9036337.87</v>
      </c>
      <c r="J8" s="14">
        <f t="shared" si="1"/>
        <v>76037616.26</v>
      </c>
      <c r="K8" s="15">
        <f t="shared" si="2"/>
        <v>0.9504702033</v>
      </c>
      <c r="L8" s="16">
        <f t="shared" si="3"/>
        <v>76037616.26</v>
      </c>
      <c r="M8" s="59">
        <f t="shared" si="4"/>
        <v>0.9504702033</v>
      </c>
      <c r="N8" s="18">
        <v>21.0</v>
      </c>
      <c r="O8" s="19">
        <v>21.0</v>
      </c>
      <c r="P8" s="20" t="s">
        <v>145</v>
      </c>
      <c r="Q8" s="47"/>
      <c r="R8" s="91"/>
    </row>
    <row r="9">
      <c r="A9" s="10">
        <v>64.0</v>
      </c>
      <c r="B9" s="10" t="s">
        <v>22</v>
      </c>
      <c r="C9" s="11" t="s">
        <v>19</v>
      </c>
      <c r="D9" s="12">
        <v>3.5E8</v>
      </c>
      <c r="E9" s="96">
        <v>5.16405E7</v>
      </c>
      <c r="F9" s="94">
        <v>5.90185E7</v>
      </c>
      <c r="G9" s="94">
        <v>6.4613E7</v>
      </c>
      <c r="H9" s="12">
        <v>5.49815E7</v>
      </c>
      <c r="I9" s="12">
        <v>3.69825E7</v>
      </c>
      <c r="J9" s="14">
        <f t="shared" si="1"/>
        <v>267236000</v>
      </c>
      <c r="K9" s="15">
        <f t="shared" si="2"/>
        <v>0.7635314286</v>
      </c>
      <c r="L9" s="16">
        <f t="shared" si="3"/>
        <v>267236000</v>
      </c>
      <c r="M9" s="59">
        <f t="shared" si="4"/>
        <v>0.7635314286</v>
      </c>
      <c r="N9" s="18">
        <v>22.0</v>
      </c>
      <c r="O9" s="19">
        <v>22.0</v>
      </c>
      <c r="P9" s="20" t="s">
        <v>146</v>
      </c>
      <c r="Q9" s="48"/>
      <c r="R9" s="91"/>
    </row>
    <row r="10">
      <c r="A10" s="10">
        <v>2.0</v>
      </c>
      <c r="B10" s="10" t="s">
        <v>24</v>
      </c>
      <c r="C10" s="10" t="s">
        <v>68</v>
      </c>
      <c r="D10" s="21">
        <v>1.0</v>
      </c>
      <c r="E10" s="21">
        <v>0.5147</v>
      </c>
      <c r="F10" s="21">
        <v>0.51</v>
      </c>
      <c r="G10" s="21">
        <v>0.5187</v>
      </c>
      <c r="H10" s="21">
        <v>1.78</v>
      </c>
      <c r="I10" s="21">
        <v>1.82</v>
      </c>
      <c r="J10" s="57">
        <f t="shared" ref="J10:J11" si="5">I10</f>
        <v>1.82</v>
      </c>
      <c r="K10" s="15">
        <f t="shared" si="2"/>
        <v>1.82</v>
      </c>
      <c r="L10" s="58">
        <f t="shared" ref="L10:L11" si="6">K10</f>
        <v>1.82</v>
      </c>
      <c r="M10" s="59">
        <f t="shared" ref="M10:M11" si="7">K10</f>
        <v>1.82</v>
      </c>
      <c r="N10" s="18">
        <v>22.0</v>
      </c>
      <c r="O10" s="19">
        <v>22.0</v>
      </c>
      <c r="P10" s="20" t="s">
        <v>146</v>
      </c>
      <c r="Q10" s="48"/>
      <c r="R10" s="91"/>
    </row>
    <row r="11">
      <c r="A11" s="10">
        <v>10.0</v>
      </c>
      <c r="B11" s="10" t="s">
        <v>25</v>
      </c>
      <c r="C11" s="11" t="s">
        <v>26</v>
      </c>
      <c r="D11" s="21">
        <v>0.8</v>
      </c>
      <c r="E11" s="21">
        <v>0.0329</v>
      </c>
      <c r="F11" s="21">
        <v>0.4556</v>
      </c>
      <c r="G11" s="21">
        <v>0.8676</v>
      </c>
      <c r="H11" s="21">
        <v>1.06</v>
      </c>
      <c r="I11" s="24">
        <v>1.265</v>
      </c>
      <c r="J11" s="57">
        <f t="shared" si="5"/>
        <v>1.265</v>
      </c>
      <c r="K11" s="15">
        <f t="shared" si="2"/>
        <v>1.58125</v>
      </c>
      <c r="L11" s="98">
        <f t="shared" si="6"/>
        <v>1.58125</v>
      </c>
      <c r="M11" s="78">
        <f t="shared" si="7"/>
        <v>1.58125</v>
      </c>
      <c r="N11" s="18">
        <v>22.0</v>
      </c>
      <c r="O11" s="19">
        <v>22.0</v>
      </c>
      <c r="P11" s="20" t="s">
        <v>146</v>
      </c>
      <c r="Q11" s="48"/>
      <c r="R11" s="92"/>
    </row>
    <row r="12">
      <c r="A12" s="10">
        <v>21.0</v>
      </c>
      <c r="B12" s="10" t="s">
        <v>27</v>
      </c>
      <c r="C12" s="11" t="s">
        <v>19</v>
      </c>
      <c r="D12" s="19">
        <v>1547.0</v>
      </c>
      <c r="E12" s="18">
        <v>107.0</v>
      </c>
      <c r="F12" s="18">
        <v>209.0</v>
      </c>
      <c r="G12" s="18">
        <v>226.0</v>
      </c>
      <c r="H12" s="18">
        <v>154.0</v>
      </c>
      <c r="I12" s="29">
        <v>178.0</v>
      </c>
      <c r="J12" s="30">
        <f t="shared" ref="J12:J25" si="8">SUM(E12:I12)</f>
        <v>874</v>
      </c>
      <c r="K12" s="15">
        <f t="shared" si="2"/>
        <v>0.5649644473</v>
      </c>
      <c r="L12" s="16">
        <f t="shared" ref="L12:L25" si="9">J12/O12*N12</f>
        <v>874</v>
      </c>
      <c r="M12" s="59">
        <f t="shared" ref="M12:M25" si="10">L12/D12</f>
        <v>0.5649644473</v>
      </c>
      <c r="N12" s="18">
        <v>22.0</v>
      </c>
      <c r="O12" s="18">
        <v>22.0</v>
      </c>
      <c r="P12" s="20" t="s">
        <v>147</v>
      </c>
      <c r="Q12" s="48"/>
      <c r="R12" s="91"/>
    </row>
    <row r="13">
      <c r="A13" s="10">
        <v>15.0</v>
      </c>
      <c r="B13" s="10" t="s">
        <v>29</v>
      </c>
      <c r="C13" s="11" t="s">
        <v>19</v>
      </c>
      <c r="D13" s="19">
        <v>5.6677E7</v>
      </c>
      <c r="E13" s="19">
        <v>6782000.0</v>
      </c>
      <c r="F13" s="12">
        <v>1.2937E7</v>
      </c>
      <c r="G13" s="12">
        <v>1.416E7</v>
      </c>
      <c r="H13" s="12">
        <v>5612000.0</v>
      </c>
      <c r="I13" s="19">
        <v>1.7562E7</v>
      </c>
      <c r="J13" s="30">
        <f t="shared" si="8"/>
        <v>57053000</v>
      </c>
      <c r="K13" s="15">
        <f t="shared" si="2"/>
        <v>1.006634084</v>
      </c>
      <c r="L13" s="16">
        <f t="shared" si="9"/>
        <v>57053000</v>
      </c>
      <c r="M13" s="59">
        <f t="shared" si="10"/>
        <v>1.006634084</v>
      </c>
      <c r="N13" s="18">
        <v>22.0</v>
      </c>
      <c r="O13" s="18">
        <v>22.0</v>
      </c>
      <c r="P13" s="20" t="s">
        <v>148</v>
      </c>
      <c r="Q13" s="48"/>
      <c r="R13" s="91"/>
    </row>
    <row r="14">
      <c r="A14" s="10">
        <v>35.0</v>
      </c>
      <c r="B14" s="10" t="s">
        <v>31</v>
      </c>
      <c r="C14" s="11" t="s">
        <v>19</v>
      </c>
      <c r="D14" s="12">
        <v>3.4182375914E8</v>
      </c>
      <c r="E14" s="19">
        <v>6.9186561E7</v>
      </c>
      <c r="F14" s="19">
        <v>9.0833443E7</v>
      </c>
      <c r="G14" s="19">
        <v>6.5330493E7</v>
      </c>
      <c r="H14" s="19">
        <v>7.9597227E7</v>
      </c>
      <c r="I14" s="19">
        <v>3.491815E7</v>
      </c>
      <c r="J14" s="30">
        <f t="shared" si="8"/>
        <v>339865874</v>
      </c>
      <c r="K14" s="15">
        <f t="shared" si="2"/>
        <v>0.994272238</v>
      </c>
      <c r="L14" s="16">
        <f t="shared" si="9"/>
        <v>339865874</v>
      </c>
      <c r="M14" s="59">
        <f t="shared" si="10"/>
        <v>0.994272238</v>
      </c>
      <c r="N14" s="18">
        <v>22.0</v>
      </c>
      <c r="O14" s="18">
        <v>22.0</v>
      </c>
      <c r="P14" s="20" t="s">
        <v>149</v>
      </c>
      <c r="Q14" s="48"/>
      <c r="R14" s="91"/>
    </row>
    <row r="15" ht="17.25" customHeight="1">
      <c r="A15" s="10">
        <v>102.0</v>
      </c>
      <c r="B15" s="11" t="s">
        <v>32</v>
      </c>
      <c r="C15" s="11" t="s">
        <v>19</v>
      </c>
      <c r="D15" s="19">
        <v>18547.0</v>
      </c>
      <c r="E15" s="18">
        <v>3447.0</v>
      </c>
      <c r="F15" s="60">
        <f>712+816+600+550</f>
        <v>2678</v>
      </c>
      <c r="G15" s="60">
        <v>1259.0</v>
      </c>
      <c r="H15" s="18">
        <f>3338+585+1380</f>
        <v>5303</v>
      </c>
      <c r="I15" s="18">
        <f>670+462</f>
        <v>1132</v>
      </c>
      <c r="J15" s="30">
        <f t="shared" si="8"/>
        <v>13819</v>
      </c>
      <c r="K15" s="15">
        <f t="shared" si="2"/>
        <v>0.7450800669</v>
      </c>
      <c r="L15" s="16">
        <f t="shared" si="9"/>
        <v>13819</v>
      </c>
      <c r="M15" s="59">
        <f t="shared" si="10"/>
        <v>0.7450800669</v>
      </c>
      <c r="N15" s="18">
        <v>22.0</v>
      </c>
      <c r="O15" s="18">
        <v>22.0</v>
      </c>
      <c r="P15" s="20" t="s">
        <v>149</v>
      </c>
      <c r="Q15" s="47"/>
      <c r="R15" s="91"/>
    </row>
    <row r="16">
      <c r="A16" s="10">
        <v>5.0</v>
      </c>
      <c r="B16" s="10" t="s">
        <v>117</v>
      </c>
      <c r="C16" s="11" t="s">
        <v>19</v>
      </c>
      <c r="D16" s="19">
        <v>1226.0</v>
      </c>
      <c r="E16" s="62">
        <v>200.0</v>
      </c>
      <c r="F16" s="63">
        <f>174+44+44</f>
        <v>262</v>
      </c>
      <c r="G16" s="63">
        <v>71.0</v>
      </c>
      <c r="H16" s="18">
        <f>171+45</f>
        <v>216</v>
      </c>
      <c r="I16" s="18">
        <f>14+68</f>
        <v>82</v>
      </c>
      <c r="J16" s="45">
        <f t="shared" si="8"/>
        <v>831</v>
      </c>
      <c r="K16" s="15">
        <f t="shared" si="2"/>
        <v>0.6778140294</v>
      </c>
      <c r="L16" s="16">
        <f t="shared" si="9"/>
        <v>831</v>
      </c>
      <c r="M16" s="59">
        <f t="shared" si="10"/>
        <v>0.6778140294</v>
      </c>
      <c r="N16" s="18">
        <v>22.0</v>
      </c>
      <c r="O16" s="18">
        <f t="shared" ref="O16:P16" si="11">O15</f>
        <v>22</v>
      </c>
      <c r="P16" s="20" t="str">
        <f t="shared" si="11"/>
        <v>as of September 30, 2025</v>
      </c>
      <c r="Q16" s="48"/>
      <c r="R16" s="91"/>
    </row>
    <row r="17">
      <c r="A17" s="10">
        <v>13.0</v>
      </c>
      <c r="B17" s="10" t="s">
        <v>118</v>
      </c>
      <c r="C17" s="11" t="s">
        <v>19</v>
      </c>
      <c r="D17" s="19">
        <v>1924.0</v>
      </c>
      <c r="E17" s="62">
        <v>271.0</v>
      </c>
      <c r="F17" s="63">
        <f>149+71+64</f>
        <v>284</v>
      </c>
      <c r="G17" s="63">
        <v>86.0</v>
      </c>
      <c r="H17" s="18">
        <f>498+181</f>
        <v>679</v>
      </c>
      <c r="I17" s="18">
        <f>63+123</f>
        <v>186</v>
      </c>
      <c r="J17" s="45">
        <f t="shared" si="8"/>
        <v>1506</v>
      </c>
      <c r="K17" s="15">
        <f t="shared" si="2"/>
        <v>0.7827442827</v>
      </c>
      <c r="L17" s="16">
        <f t="shared" si="9"/>
        <v>1506</v>
      </c>
      <c r="M17" s="59">
        <f t="shared" si="10"/>
        <v>0.7827442827</v>
      </c>
      <c r="N17" s="18">
        <v>22.0</v>
      </c>
      <c r="O17" s="18">
        <f t="shared" ref="O17:P17" si="12">O16</f>
        <v>22</v>
      </c>
      <c r="P17" s="20" t="str">
        <f t="shared" si="12"/>
        <v>as of September 30, 2025</v>
      </c>
      <c r="Q17" s="48"/>
      <c r="R17" s="91"/>
    </row>
    <row r="18">
      <c r="A18" s="10">
        <v>39.0</v>
      </c>
      <c r="B18" s="11" t="s">
        <v>35</v>
      </c>
      <c r="C18" s="11" t="s">
        <v>19</v>
      </c>
      <c r="D18" s="19">
        <v>4.9686E8</v>
      </c>
      <c r="E18" s="80">
        <f>55839000+64501816+38259000+30609000+40081000</f>
        <v>229289816</v>
      </c>
      <c r="F18" s="82">
        <f>65481500+48116500+44389200+42351500+53094000</f>
        <v>253432700</v>
      </c>
      <c r="G18" s="82">
        <f>42475000+59095300+42091000+43548000+37373400</f>
        <v>224582700</v>
      </c>
      <c r="H18" s="19">
        <f>41635754+44582300+34874500+43023000+370000</f>
        <v>164485554</v>
      </c>
      <c r="I18" s="19">
        <f>49000000+69000000</f>
        <v>118000000</v>
      </c>
      <c r="J18" s="30">
        <f t="shared" si="8"/>
        <v>989790770</v>
      </c>
      <c r="K18" s="15">
        <f t="shared" si="2"/>
        <v>1.992091877</v>
      </c>
      <c r="L18" s="16">
        <f t="shared" si="9"/>
        <v>989790770</v>
      </c>
      <c r="M18" s="59">
        <f t="shared" si="10"/>
        <v>1.992091877</v>
      </c>
      <c r="N18" s="18">
        <v>22.0</v>
      </c>
      <c r="O18" s="18">
        <v>22.0</v>
      </c>
      <c r="P18" s="20" t="s">
        <v>149</v>
      </c>
      <c r="Q18" s="47"/>
      <c r="R18" s="91"/>
    </row>
    <row r="19">
      <c r="A19" s="10">
        <v>5.0</v>
      </c>
      <c r="B19" s="11" t="s">
        <v>37</v>
      </c>
      <c r="C19" s="11" t="s">
        <v>19</v>
      </c>
      <c r="D19" s="12">
        <v>800.0</v>
      </c>
      <c r="E19" s="80">
        <f>35+26+29+19+26</f>
        <v>135</v>
      </c>
      <c r="F19" s="81">
        <f>19+26+31+20+41</f>
        <v>137</v>
      </c>
      <c r="G19" s="82">
        <f>27+23+23+32+36</f>
        <v>141</v>
      </c>
      <c r="H19" s="34">
        <f>29+27+37+37+34</f>
        <v>164</v>
      </c>
      <c r="I19" s="34">
        <f>31+34</f>
        <v>65</v>
      </c>
      <c r="J19" s="30">
        <f t="shared" si="8"/>
        <v>642</v>
      </c>
      <c r="K19" s="15">
        <f t="shared" si="2"/>
        <v>0.8025</v>
      </c>
      <c r="L19" s="16">
        <f t="shared" si="9"/>
        <v>642</v>
      </c>
      <c r="M19" s="99">
        <f t="shared" si="10"/>
        <v>0.8025</v>
      </c>
      <c r="N19" s="18">
        <f t="shared" ref="N19:P19" si="13">N18</f>
        <v>22</v>
      </c>
      <c r="O19" s="18">
        <f t="shared" si="13"/>
        <v>22</v>
      </c>
      <c r="P19" s="61" t="str">
        <f t="shared" si="13"/>
        <v>as of September 30, 2025</v>
      </c>
      <c r="Q19" s="47"/>
      <c r="R19" s="91"/>
    </row>
    <row r="20">
      <c r="A20" s="10">
        <v>15.0</v>
      </c>
      <c r="B20" s="11" t="s">
        <v>38</v>
      </c>
      <c r="C20" s="11" t="s">
        <v>19</v>
      </c>
      <c r="D20" s="12">
        <v>5500.0</v>
      </c>
      <c r="E20" s="80">
        <f>189+165+142+219+228</f>
        <v>943</v>
      </c>
      <c r="F20" s="89">
        <f>279+231+260+199+237</f>
        <v>1206</v>
      </c>
      <c r="G20" s="90">
        <f>247+209+209+201+204</f>
        <v>1070</v>
      </c>
      <c r="H20" s="29">
        <f>158+181+188+186+231</f>
        <v>944</v>
      </c>
      <c r="I20" s="29">
        <f>220+196</f>
        <v>416</v>
      </c>
      <c r="J20" s="30">
        <f t="shared" si="8"/>
        <v>4579</v>
      </c>
      <c r="K20" s="15">
        <f t="shared" si="2"/>
        <v>0.8325454545</v>
      </c>
      <c r="L20" s="16">
        <f t="shared" si="9"/>
        <v>4579</v>
      </c>
      <c r="M20" s="59">
        <f t="shared" si="10"/>
        <v>0.8325454545</v>
      </c>
      <c r="N20" s="18">
        <f t="shared" ref="N20:P20" si="14">N19</f>
        <v>22</v>
      </c>
      <c r="O20" s="18">
        <f t="shared" si="14"/>
        <v>22</v>
      </c>
      <c r="P20" s="61" t="str">
        <f t="shared" si="14"/>
        <v>as of September 30, 2025</v>
      </c>
      <c r="Q20" s="47"/>
      <c r="R20" s="91"/>
    </row>
    <row r="21">
      <c r="A21" s="10">
        <v>20.0</v>
      </c>
      <c r="B21" s="10" t="s">
        <v>39</v>
      </c>
      <c r="C21" s="11" t="s">
        <v>19</v>
      </c>
      <c r="D21" s="12">
        <v>4400.0</v>
      </c>
      <c r="E21" s="19">
        <f>196+160+190+166+151</f>
        <v>863</v>
      </c>
      <c r="F21" s="29">
        <f>215+200+223+183+180</f>
        <v>1001</v>
      </c>
      <c r="G21" s="19">
        <f>206+218+198+170+155</f>
        <v>947</v>
      </c>
      <c r="H21" s="29">
        <f>179+172+191+174+178</f>
        <v>894</v>
      </c>
      <c r="I21" s="29">
        <f>133+148</f>
        <v>281</v>
      </c>
      <c r="J21" s="30">
        <f t="shared" si="8"/>
        <v>3986</v>
      </c>
      <c r="K21" s="15">
        <f t="shared" si="2"/>
        <v>0.9059090909</v>
      </c>
      <c r="L21" s="16">
        <f t="shared" si="9"/>
        <v>3986</v>
      </c>
      <c r="M21" s="59">
        <f t="shared" si="10"/>
        <v>0.9059090909</v>
      </c>
      <c r="N21" s="18">
        <f t="shared" ref="N21:P21" si="15">N20</f>
        <v>22</v>
      </c>
      <c r="O21" s="18">
        <f t="shared" si="15"/>
        <v>22</v>
      </c>
      <c r="P21" s="61" t="str">
        <f t="shared" si="15"/>
        <v>as of September 30, 2025</v>
      </c>
      <c r="Q21" s="48"/>
      <c r="R21" s="91"/>
    </row>
    <row r="22">
      <c r="A22" s="10">
        <v>20.0</v>
      </c>
      <c r="B22" s="10" t="s">
        <v>40</v>
      </c>
      <c r="C22" s="11" t="s">
        <v>19</v>
      </c>
      <c r="D22" s="12">
        <v>180.0</v>
      </c>
      <c r="E22" s="19">
        <v>25.0</v>
      </c>
      <c r="F22" s="29">
        <v>49.0</v>
      </c>
      <c r="G22" s="29">
        <v>48.0</v>
      </c>
      <c r="H22" s="29">
        <v>38.0</v>
      </c>
      <c r="I22" s="29">
        <v>11.0</v>
      </c>
      <c r="J22" s="30">
        <f t="shared" si="8"/>
        <v>171</v>
      </c>
      <c r="K22" s="15">
        <f t="shared" si="2"/>
        <v>0.95</v>
      </c>
      <c r="L22" s="16">
        <f t="shared" si="9"/>
        <v>171</v>
      </c>
      <c r="M22" s="59">
        <f t="shared" si="10"/>
        <v>0.95</v>
      </c>
      <c r="N22" s="18">
        <v>22.0</v>
      </c>
      <c r="O22" s="18">
        <v>22.0</v>
      </c>
      <c r="P22" s="20" t="s">
        <v>146</v>
      </c>
      <c r="Q22" s="48"/>
      <c r="R22" s="91"/>
    </row>
    <row r="23">
      <c r="A23" s="10">
        <v>21.0</v>
      </c>
      <c r="B23" s="10" t="s">
        <v>73</v>
      </c>
      <c r="C23" s="11" t="s">
        <v>19</v>
      </c>
      <c r="D23" s="12">
        <v>2394.0</v>
      </c>
      <c r="E23" s="19">
        <v>420.0</v>
      </c>
      <c r="F23" s="29">
        <v>687.0</v>
      </c>
      <c r="G23" s="29">
        <v>637.0</v>
      </c>
      <c r="H23" s="32">
        <v>640.0</v>
      </c>
      <c r="I23" s="29">
        <v>355.0</v>
      </c>
      <c r="J23" s="30">
        <f t="shared" si="8"/>
        <v>2739</v>
      </c>
      <c r="K23" s="15">
        <f t="shared" si="2"/>
        <v>1.144110276</v>
      </c>
      <c r="L23" s="16">
        <f t="shared" si="9"/>
        <v>2739</v>
      </c>
      <c r="M23" s="59">
        <f t="shared" si="10"/>
        <v>1.144110276</v>
      </c>
      <c r="N23" s="18">
        <v>22.0</v>
      </c>
      <c r="O23" s="18">
        <v>22.0</v>
      </c>
      <c r="P23" s="20" t="s">
        <v>150</v>
      </c>
      <c r="Q23" s="48"/>
      <c r="R23" s="91"/>
    </row>
    <row r="24">
      <c r="A24" s="10">
        <v>5.0</v>
      </c>
      <c r="B24" s="10" t="s">
        <v>134</v>
      </c>
      <c r="C24" s="11" t="s">
        <v>19</v>
      </c>
      <c r="D24" s="12">
        <v>4.25E7</v>
      </c>
      <c r="E24" s="19">
        <v>1.1923797E7</v>
      </c>
      <c r="F24" s="12">
        <v>8338600.0</v>
      </c>
      <c r="G24" s="12">
        <v>1.2547766E7</v>
      </c>
      <c r="H24" s="12">
        <v>7817900.0</v>
      </c>
      <c r="I24" s="12">
        <v>1679150.0</v>
      </c>
      <c r="J24" s="30">
        <f t="shared" si="8"/>
        <v>42307213</v>
      </c>
      <c r="K24" s="15">
        <f t="shared" si="2"/>
        <v>0.9954638353</v>
      </c>
      <c r="L24" s="16">
        <f t="shared" si="9"/>
        <v>44321842.19</v>
      </c>
      <c r="M24" s="59">
        <f t="shared" si="10"/>
        <v>1.042866875</v>
      </c>
      <c r="N24" s="18">
        <v>22.0</v>
      </c>
      <c r="O24" s="18">
        <v>21.0</v>
      </c>
      <c r="P24" s="20" t="s">
        <v>151</v>
      </c>
      <c r="Q24" s="48"/>
      <c r="R24" s="91"/>
    </row>
    <row r="25">
      <c r="A25" s="10">
        <v>3.0</v>
      </c>
      <c r="B25" s="10" t="s">
        <v>43</v>
      </c>
      <c r="C25" s="11" t="s">
        <v>19</v>
      </c>
      <c r="D25" s="12">
        <v>30.0</v>
      </c>
      <c r="E25" s="12">
        <v>11.0</v>
      </c>
      <c r="F25" s="12">
        <v>8.0</v>
      </c>
      <c r="G25" s="12">
        <v>8.0</v>
      </c>
      <c r="H25" s="12">
        <v>7.0</v>
      </c>
      <c r="I25" s="12">
        <v>2.0</v>
      </c>
      <c r="J25" s="14">
        <f t="shared" si="8"/>
        <v>36</v>
      </c>
      <c r="K25" s="15">
        <f t="shared" si="2"/>
        <v>1.2</v>
      </c>
      <c r="L25" s="16">
        <f t="shared" si="9"/>
        <v>37.71428571</v>
      </c>
      <c r="M25" s="59">
        <f t="shared" si="10"/>
        <v>1.257142857</v>
      </c>
      <c r="N25" s="18">
        <v>22.0</v>
      </c>
      <c r="O25" s="18">
        <v>21.0</v>
      </c>
      <c r="P25" s="20" t="s">
        <v>151</v>
      </c>
      <c r="Q25" s="48"/>
      <c r="R25" s="91"/>
    </row>
    <row r="26">
      <c r="A26" s="10">
        <v>45.0</v>
      </c>
      <c r="B26" s="10" t="s">
        <v>44</v>
      </c>
      <c r="C26" s="11" t="s">
        <v>19</v>
      </c>
      <c r="D26" s="21">
        <v>0.85</v>
      </c>
      <c r="E26" s="21">
        <v>0.83</v>
      </c>
      <c r="F26" s="24">
        <v>0.86</v>
      </c>
      <c r="G26" s="24">
        <v>0.86</v>
      </c>
      <c r="H26" s="24">
        <v>0.9145</v>
      </c>
      <c r="I26" s="24">
        <v>0.86</v>
      </c>
      <c r="J26" s="57">
        <f>AVERAGE(E26:I26)</f>
        <v>0.8649</v>
      </c>
      <c r="K26" s="15">
        <f t="shared" si="2"/>
        <v>1.017529412</v>
      </c>
      <c r="L26" s="15">
        <f t="shared" ref="L26:M26" si="16">J26</f>
        <v>0.8649</v>
      </c>
      <c r="M26" s="59">
        <f t="shared" si="16"/>
        <v>1.017529412</v>
      </c>
      <c r="N26" s="18">
        <v>30.0</v>
      </c>
      <c r="O26" s="60">
        <v>29.0</v>
      </c>
      <c r="P26" s="20" t="s">
        <v>151</v>
      </c>
      <c r="Q26" s="48"/>
      <c r="R26" s="91"/>
    </row>
    <row r="27">
      <c r="A27" s="10">
        <v>69.0</v>
      </c>
      <c r="B27" s="10" t="s">
        <v>120</v>
      </c>
      <c r="C27" s="10" t="s">
        <v>121</v>
      </c>
      <c r="D27" s="21">
        <v>0.85</v>
      </c>
      <c r="E27" s="23">
        <v>0.7428</v>
      </c>
      <c r="F27" s="44">
        <v>0.7182</v>
      </c>
      <c r="G27" s="24">
        <v>0.8192</v>
      </c>
      <c r="H27" s="24">
        <v>0.7311</v>
      </c>
      <c r="I27" s="24"/>
      <c r="J27" s="23">
        <f>H27</f>
        <v>0.7311</v>
      </c>
      <c r="K27" s="15">
        <f t="shared" ref="K27:L27" si="17">J27</f>
        <v>0.7311</v>
      </c>
      <c r="L27" s="15">
        <f t="shared" si="17"/>
        <v>0.7311</v>
      </c>
      <c r="M27" s="59">
        <f>K27</f>
        <v>0.7311</v>
      </c>
      <c r="N27" s="62">
        <v>30.0</v>
      </c>
      <c r="O27" s="83">
        <v>30.0</v>
      </c>
      <c r="P27" s="20" t="s">
        <v>151</v>
      </c>
      <c r="Q27" s="48"/>
      <c r="R27" s="91"/>
    </row>
    <row r="28">
      <c r="A28" s="35"/>
      <c r="B28" s="35"/>
      <c r="C28" s="35"/>
      <c r="D28" s="36"/>
      <c r="E28" s="37"/>
      <c r="F28" s="38"/>
      <c r="G28" s="38"/>
      <c r="H28" s="36"/>
      <c r="I28" s="38"/>
      <c r="J28" s="37"/>
      <c r="K28" s="39"/>
      <c r="L28" s="40"/>
      <c r="M28" s="41"/>
      <c r="N28" s="38"/>
      <c r="O28" s="38"/>
      <c r="R28" s="91"/>
    </row>
    <row r="29" ht="15.0" customHeight="1">
      <c r="A29" s="1" t="s">
        <v>0</v>
      </c>
      <c r="B29" s="42" t="s">
        <v>152</v>
      </c>
    </row>
    <row r="30" ht="10.5" customHeight="1">
      <c r="A30" s="3"/>
    </row>
    <row r="31">
      <c r="A31" s="3"/>
    </row>
    <row r="32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>
      <c r="A33" s="5" t="s">
        <v>2</v>
      </c>
      <c r="B33" s="5" t="s">
        <v>3</v>
      </c>
      <c r="C33" s="5" t="s">
        <v>4</v>
      </c>
      <c r="D33" s="6" t="s">
        <v>5</v>
      </c>
      <c r="E33" s="7" t="s">
        <v>6</v>
      </c>
      <c r="F33" s="4"/>
      <c r="G33" s="4"/>
      <c r="H33" s="4"/>
      <c r="I33" s="8"/>
      <c r="J33" s="6" t="s">
        <v>7</v>
      </c>
      <c r="K33" s="6" t="s">
        <v>8</v>
      </c>
      <c r="L33" s="6" t="s">
        <v>9</v>
      </c>
      <c r="M33" s="6" t="s">
        <v>10</v>
      </c>
      <c r="N33" s="6" t="s">
        <v>11</v>
      </c>
      <c r="O33" s="6" t="s">
        <v>12</v>
      </c>
    </row>
    <row r="34">
      <c r="A34" s="8"/>
      <c r="B34" s="8"/>
      <c r="C34" s="8"/>
      <c r="D34" s="8"/>
      <c r="E34" s="9" t="s">
        <v>13</v>
      </c>
      <c r="F34" s="9" t="s">
        <v>14</v>
      </c>
      <c r="G34" s="9" t="s">
        <v>15</v>
      </c>
      <c r="H34" s="9" t="s">
        <v>16</v>
      </c>
      <c r="I34" s="9" t="s">
        <v>17</v>
      </c>
      <c r="J34" s="8"/>
      <c r="K34" s="8"/>
      <c r="L34" s="8"/>
      <c r="M34" s="8"/>
      <c r="N34" s="8"/>
      <c r="O34" s="8"/>
    </row>
    <row r="35">
      <c r="A35" s="10">
        <v>100.0</v>
      </c>
      <c r="B35" s="11" t="s">
        <v>18</v>
      </c>
      <c r="C35" s="11" t="s">
        <v>19</v>
      </c>
      <c r="D35" s="19">
        <v>9.025E8</v>
      </c>
      <c r="E35" s="12">
        <v>1.4799125734E8</v>
      </c>
      <c r="F35" s="12">
        <v>1.6571624634E8</v>
      </c>
      <c r="G35" s="12">
        <f>59106336.87+174214380.45</f>
        <v>233320717.3</v>
      </c>
      <c r="H35" s="13">
        <f>124244561.28+39050031.72+167389215</f>
        <v>330683808</v>
      </c>
      <c r="I35" s="13">
        <f>91454741.97+42722349.03</f>
        <v>134177091</v>
      </c>
      <c r="J35" s="14">
        <f t="shared" ref="J35:J37" si="18">SUM(E35:I35)</f>
        <v>1011889120</v>
      </c>
      <c r="K35" s="15">
        <f t="shared" ref="K35:K38" si="19">J35/D35</f>
        <v>1.121206781</v>
      </c>
      <c r="L35" s="16">
        <f t="shared" ref="L35:L37" si="20">J35/O35*N35</f>
        <v>1011889120</v>
      </c>
      <c r="M35" s="59">
        <f t="shared" ref="M35:M37" si="21">L35/D35</f>
        <v>1.121206781</v>
      </c>
      <c r="N35" s="18">
        <v>22.0</v>
      </c>
      <c r="O35" s="19">
        <v>22.0</v>
      </c>
      <c r="P35" s="20" t="s">
        <v>153</v>
      </c>
    </row>
    <row r="36">
      <c r="A36" s="10">
        <v>6.0</v>
      </c>
      <c r="B36" s="11" t="s">
        <v>21</v>
      </c>
      <c r="C36" s="11" t="s">
        <v>19</v>
      </c>
      <c r="D36" s="19">
        <v>7.2E7</v>
      </c>
      <c r="E36" s="12">
        <v>1.112537854E7</v>
      </c>
      <c r="F36" s="12">
        <v>9221070.47</v>
      </c>
      <c r="G36" s="12">
        <f>3084591.97+5700633.02</f>
        <v>8785224.99</v>
      </c>
      <c r="H36" s="13">
        <f>8240682.39+1799717.61+13810636</f>
        <v>23851036</v>
      </c>
      <c r="I36" s="12">
        <f>10561971.67+10423569.33</f>
        <v>20985541</v>
      </c>
      <c r="J36" s="14">
        <f t="shared" si="18"/>
        <v>73968251</v>
      </c>
      <c r="K36" s="15">
        <f t="shared" si="19"/>
        <v>1.027336819</v>
      </c>
      <c r="L36" s="16">
        <f t="shared" si="20"/>
        <v>73968251</v>
      </c>
      <c r="M36" s="59">
        <f t="shared" si="21"/>
        <v>1.027336819</v>
      </c>
      <c r="N36" s="18">
        <v>22.0</v>
      </c>
      <c r="O36" s="19">
        <v>22.0</v>
      </c>
      <c r="P36" s="20" t="s">
        <v>153</v>
      </c>
    </row>
    <row r="37">
      <c r="A37" s="10">
        <v>64.0</v>
      </c>
      <c r="B37" s="10" t="s">
        <v>22</v>
      </c>
      <c r="C37" s="11" t="s">
        <v>19</v>
      </c>
      <c r="D37" s="19">
        <v>3.0E8</v>
      </c>
      <c r="E37" s="12">
        <v>5.47165E7</v>
      </c>
      <c r="F37" s="12">
        <v>4.75255E7</v>
      </c>
      <c r="G37" s="12">
        <v>4.27115E7</v>
      </c>
      <c r="H37" s="12">
        <v>5.92365E7</v>
      </c>
      <c r="I37" s="12">
        <v>1.9647E7</v>
      </c>
      <c r="J37" s="14">
        <f t="shared" si="18"/>
        <v>223837000</v>
      </c>
      <c r="K37" s="15">
        <f t="shared" si="19"/>
        <v>0.7461233333</v>
      </c>
      <c r="L37" s="16">
        <f t="shared" si="20"/>
        <v>223837000</v>
      </c>
      <c r="M37" s="59">
        <f t="shared" si="21"/>
        <v>0.7461233333</v>
      </c>
      <c r="N37" s="18">
        <v>22.0</v>
      </c>
      <c r="O37" s="19">
        <v>22.0</v>
      </c>
      <c r="P37" s="20" t="s">
        <v>153</v>
      </c>
    </row>
    <row r="38">
      <c r="A38" s="10">
        <v>2.0</v>
      </c>
      <c r="B38" s="10" t="s">
        <v>24</v>
      </c>
      <c r="C38" s="10" t="s">
        <v>68</v>
      </c>
      <c r="D38" s="21">
        <v>1.0</v>
      </c>
      <c r="E38" s="21">
        <v>0.5147</v>
      </c>
      <c r="F38" s="21">
        <v>0.51</v>
      </c>
      <c r="G38" s="21">
        <v>0.5187</v>
      </c>
      <c r="H38" s="21">
        <v>1.78</v>
      </c>
      <c r="I38" s="21">
        <v>1.82</v>
      </c>
      <c r="J38" s="57">
        <f t="shared" ref="J38:J39" si="22">I38</f>
        <v>1.82</v>
      </c>
      <c r="K38" s="15">
        <f t="shared" si="19"/>
        <v>1.82</v>
      </c>
      <c r="L38" s="58">
        <f>K38</f>
        <v>1.82</v>
      </c>
      <c r="M38" s="59">
        <f t="shared" ref="M38:M39" si="24">K38</f>
        <v>1.82</v>
      </c>
      <c r="N38" s="18">
        <v>22.0</v>
      </c>
      <c r="O38" s="19">
        <v>21.0</v>
      </c>
      <c r="P38" s="20" t="s">
        <v>153</v>
      </c>
    </row>
    <row r="39">
      <c r="A39" s="10">
        <v>10.0</v>
      </c>
      <c r="B39" s="10" t="s">
        <v>25</v>
      </c>
      <c r="C39" s="11" t="s">
        <v>26</v>
      </c>
      <c r="D39" s="21">
        <v>0.8</v>
      </c>
      <c r="E39" s="21">
        <v>0.0329</v>
      </c>
      <c r="F39" s="21">
        <v>0.4556</v>
      </c>
      <c r="G39" s="21">
        <v>0.8676</v>
      </c>
      <c r="H39" s="21">
        <v>1.0595</v>
      </c>
      <c r="I39" s="24">
        <v>1.265</v>
      </c>
      <c r="J39" s="57">
        <f t="shared" si="22"/>
        <v>1.265</v>
      </c>
      <c r="K39" s="15">
        <f t="shared" ref="K39:L39" si="23">J39</f>
        <v>1.265</v>
      </c>
      <c r="L39" s="58">
        <f t="shared" si="23"/>
        <v>1.265</v>
      </c>
      <c r="M39" s="78">
        <f t="shared" si="24"/>
        <v>1.265</v>
      </c>
      <c r="N39" s="18">
        <v>22.0</v>
      </c>
      <c r="O39" s="19">
        <v>21.0</v>
      </c>
      <c r="P39" s="20" t="s">
        <v>153</v>
      </c>
    </row>
    <row r="40">
      <c r="A40" s="10">
        <v>26.0</v>
      </c>
      <c r="B40" s="10" t="s">
        <v>27</v>
      </c>
      <c r="C40" s="10" t="s">
        <v>109</v>
      </c>
      <c r="D40" s="19">
        <v>882.0</v>
      </c>
      <c r="E40" s="18">
        <v>303.0</v>
      </c>
      <c r="F40" s="18">
        <v>86.0</v>
      </c>
      <c r="G40" s="18">
        <v>113.0</v>
      </c>
      <c r="H40" s="18">
        <v>57.0</v>
      </c>
      <c r="I40" s="29"/>
      <c r="J40" s="45">
        <f t="shared" ref="J40:J42" si="25">sum(E40:I40)</f>
        <v>559</v>
      </c>
      <c r="K40" s="15">
        <f t="shared" ref="K40:K54" si="26">J40/D40</f>
        <v>0.6337868481</v>
      </c>
      <c r="L40" s="16">
        <f t="shared" ref="L40:L45" si="27">J40/O40*N40</f>
        <v>559</v>
      </c>
      <c r="M40" s="59">
        <f t="shared" ref="M40:M53" si="28">L40/D40</f>
        <v>0.6337868481</v>
      </c>
      <c r="N40" s="62">
        <v>22.0</v>
      </c>
      <c r="O40" s="63">
        <v>22.0</v>
      </c>
      <c r="P40" s="20" t="s">
        <v>153</v>
      </c>
    </row>
    <row r="41">
      <c r="A41" s="10">
        <v>15.0</v>
      </c>
      <c r="B41" s="10" t="s">
        <v>29</v>
      </c>
      <c r="C41" s="10" t="s">
        <v>110</v>
      </c>
      <c r="D41" s="12">
        <v>1.185E7</v>
      </c>
      <c r="E41" s="19">
        <v>450000.0</v>
      </c>
      <c r="F41" s="12">
        <v>1510000.0</v>
      </c>
      <c r="G41" s="19">
        <v>1264000.0</v>
      </c>
      <c r="H41" s="19">
        <v>1857000.0</v>
      </c>
      <c r="I41" s="19"/>
      <c r="J41" s="30">
        <f t="shared" si="25"/>
        <v>5081000</v>
      </c>
      <c r="K41" s="15">
        <f t="shared" si="26"/>
        <v>0.4287763713</v>
      </c>
      <c r="L41" s="16">
        <f t="shared" si="27"/>
        <v>5081000</v>
      </c>
      <c r="M41" s="59">
        <f t="shared" si="28"/>
        <v>0.4287763713</v>
      </c>
      <c r="N41" s="62">
        <v>22.0</v>
      </c>
      <c r="O41" s="63">
        <v>22.0</v>
      </c>
      <c r="P41" s="20" t="s">
        <v>149</v>
      </c>
    </row>
    <row r="42">
      <c r="A42" s="10">
        <v>35.0</v>
      </c>
      <c r="B42" s="10" t="s">
        <v>31</v>
      </c>
      <c r="C42" s="10" t="s">
        <v>109</v>
      </c>
      <c r="D42" s="12">
        <f t="shared" ref="D42:I42" si="29">D14</f>
        <v>341823759.1</v>
      </c>
      <c r="E42" s="12">
        <f t="shared" si="29"/>
        <v>69186561</v>
      </c>
      <c r="F42" s="12">
        <f t="shared" si="29"/>
        <v>90833443</v>
      </c>
      <c r="G42" s="12">
        <f t="shared" si="29"/>
        <v>65330493</v>
      </c>
      <c r="H42" s="12">
        <f t="shared" si="29"/>
        <v>79597227</v>
      </c>
      <c r="I42" s="12">
        <f t="shared" si="29"/>
        <v>34918150</v>
      </c>
      <c r="J42" s="14">
        <f t="shared" si="25"/>
        <v>339865874</v>
      </c>
      <c r="K42" s="100">
        <f t="shared" si="26"/>
        <v>0.994272238</v>
      </c>
      <c r="L42" s="16">
        <f t="shared" si="27"/>
        <v>339865874</v>
      </c>
      <c r="M42" s="59">
        <f t="shared" si="28"/>
        <v>0.994272238</v>
      </c>
      <c r="N42" s="70">
        <f t="shared" ref="N42:P42" si="30">N14</f>
        <v>22</v>
      </c>
      <c r="O42" s="82">
        <f t="shared" si="30"/>
        <v>22</v>
      </c>
      <c r="P42" s="93" t="str">
        <f t="shared" si="30"/>
        <v>as of September 30, 2025</v>
      </c>
    </row>
    <row r="43">
      <c r="A43" s="10">
        <v>102.0</v>
      </c>
      <c r="B43" s="11" t="s">
        <v>32</v>
      </c>
      <c r="C43" s="10" t="s">
        <v>76</v>
      </c>
      <c r="D43" s="19">
        <f t="shared" ref="D43:I43" si="31">D15</f>
        <v>18547</v>
      </c>
      <c r="E43" s="18">
        <f t="shared" si="31"/>
        <v>3447</v>
      </c>
      <c r="F43" s="18">
        <f t="shared" si="31"/>
        <v>2678</v>
      </c>
      <c r="G43" s="18">
        <f t="shared" si="31"/>
        <v>1259</v>
      </c>
      <c r="H43" s="18">
        <f t="shared" si="31"/>
        <v>5303</v>
      </c>
      <c r="I43" s="18">
        <f t="shared" si="31"/>
        <v>1132</v>
      </c>
      <c r="J43" s="45">
        <f t="shared" ref="J43:J53" si="34">SUM(E43:I43)</f>
        <v>13819</v>
      </c>
      <c r="K43" s="15">
        <f t="shared" si="26"/>
        <v>0.7450800669</v>
      </c>
      <c r="L43" s="16">
        <f t="shared" si="27"/>
        <v>13819</v>
      </c>
      <c r="M43" s="59">
        <f t="shared" si="28"/>
        <v>0.7450800669</v>
      </c>
      <c r="N43" s="62">
        <f t="shared" ref="N43:P43" si="32">N15</f>
        <v>22</v>
      </c>
      <c r="O43" s="63">
        <f t="shared" si="32"/>
        <v>22</v>
      </c>
      <c r="P43" s="64" t="str">
        <f t="shared" si="32"/>
        <v>as of September 30, 2025</v>
      </c>
      <c r="Q43" s="20" t="s">
        <v>67</v>
      </c>
    </row>
    <row r="44">
      <c r="A44" s="10">
        <v>5.0</v>
      </c>
      <c r="B44" s="10" t="s">
        <v>154</v>
      </c>
      <c r="C44" s="10" t="s">
        <v>76</v>
      </c>
      <c r="D44" s="19">
        <v>1226.0</v>
      </c>
      <c r="E44" s="18">
        <f t="shared" ref="E44:I44" si="33">E16</f>
        <v>200</v>
      </c>
      <c r="F44" s="18">
        <f t="shared" si="33"/>
        <v>262</v>
      </c>
      <c r="G44" s="18">
        <f t="shared" si="33"/>
        <v>71</v>
      </c>
      <c r="H44" s="18">
        <f t="shared" si="33"/>
        <v>216</v>
      </c>
      <c r="I44" s="18">
        <f t="shared" si="33"/>
        <v>82</v>
      </c>
      <c r="J44" s="45">
        <f t="shared" si="34"/>
        <v>831</v>
      </c>
      <c r="K44" s="15">
        <f t="shared" si="26"/>
        <v>0.6778140294</v>
      </c>
      <c r="L44" s="16">
        <f t="shared" si="27"/>
        <v>831</v>
      </c>
      <c r="M44" s="59">
        <f t="shared" si="28"/>
        <v>0.6778140294</v>
      </c>
      <c r="N44" s="18">
        <f t="shared" ref="N44:N50" si="37">N16</f>
        <v>22</v>
      </c>
      <c r="O44" s="63">
        <f t="shared" ref="O44:P44" si="35">O43</f>
        <v>22</v>
      </c>
      <c r="P44" s="64" t="str">
        <f t="shared" si="35"/>
        <v>as of September 30, 2025</v>
      </c>
      <c r="Q44" s="20" t="s">
        <v>67</v>
      </c>
    </row>
    <row r="45">
      <c r="A45" s="10">
        <v>13.0</v>
      </c>
      <c r="B45" s="10" t="s">
        <v>118</v>
      </c>
      <c r="C45" s="10" t="s">
        <v>76</v>
      </c>
      <c r="D45" s="19">
        <v>1924.0</v>
      </c>
      <c r="E45" s="18">
        <v>271.0</v>
      </c>
      <c r="F45" s="18">
        <f t="shared" ref="F45:I45" si="36">F17</f>
        <v>284</v>
      </c>
      <c r="G45" s="18">
        <f t="shared" si="36"/>
        <v>86</v>
      </c>
      <c r="H45" s="18">
        <f t="shared" si="36"/>
        <v>679</v>
      </c>
      <c r="I45" s="18">
        <f t="shared" si="36"/>
        <v>186</v>
      </c>
      <c r="J45" s="45">
        <f t="shared" si="34"/>
        <v>1506</v>
      </c>
      <c r="K45" s="15">
        <f t="shared" si="26"/>
        <v>0.7827442827</v>
      </c>
      <c r="L45" s="16">
        <f t="shared" si="27"/>
        <v>1506</v>
      </c>
      <c r="M45" s="59">
        <f t="shared" si="28"/>
        <v>0.7827442827</v>
      </c>
      <c r="N45" s="18">
        <f t="shared" si="37"/>
        <v>22</v>
      </c>
      <c r="O45" s="63">
        <f t="shared" ref="O45:P45" si="38">O44</f>
        <v>22</v>
      </c>
      <c r="P45" s="64" t="str">
        <f t="shared" si="38"/>
        <v>as of September 30, 2025</v>
      </c>
      <c r="Q45" s="20" t="s">
        <v>67</v>
      </c>
    </row>
    <row r="46">
      <c r="A46" s="10">
        <v>39.0</v>
      </c>
      <c r="B46" s="11" t="s">
        <v>35</v>
      </c>
      <c r="C46" s="11" t="s">
        <v>19</v>
      </c>
      <c r="D46" s="19">
        <f t="shared" ref="D46:I46" si="39">D18</f>
        <v>496860000</v>
      </c>
      <c r="E46" s="19">
        <f t="shared" si="39"/>
        <v>229289816</v>
      </c>
      <c r="F46" s="19">
        <f t="shared" si="39"/>
        <v>253432700</v>
      </c>
      <c r="G46" s="19">
        <f t="shared" si="39"/>
        <v>224582700</v>
      </c>
      <c r="H46" s="19">
        <f t="shared" si="39"/>
        <v>164485554</v>
      </c>
      <c r="I46" s="46">
        <f t="shared" si="39"/>
        <v>118000000</v>
      </c>
      <c r="J46" s="30">
        <f t="shared" si="34"/>
        <v>989790770</v>
      </c>
      <c r="K46" s="15">
        <f t="shared" si="26"/>
        <v>1.992091877</v>
      </c>
      <c r="L46" s="16">
        <f t="shared" ref="L46:L49" si="42">L18</f>
        <v>989790770</v>
      </c>
      <c r="M46" s="59">
        <f t="shared" si="28"/>
        <v>1.992091877</v>
      </c>
      <c r="N46" s="18">
        <f t="shared" si="37"/>
        <v>22</v>
      </c>
      <c r="O46" s="63">
        <f t="shared" ref="O46:P46" si="40">O18</f>
        <v>22</v>
      </c>
      <c r="P46" s="68" t="str">
        <f t="shared" si="40"/>
        <v>as of September 30, 2025</v>
      </c>
    </row>
    <row r="47">
      <c r="A47" s="10">
        <v>5.0</v>
      </c>
      <c r="B47" s="11" t="s">
        <v>37</v>
      </c>
      <c r="C47" s="11" t="s">
        <v>19</v>
      </c>
      <c r="D47" s="19">
        <f t="shared" ref="D47:I47" si="41">D19</f>
        <v>800</v>
      </c>
      <c r="E47" s="19">
        <f t="shared" si="41"/>
        <v>135</v>
      </c>
      <c r="F47" s="19">
        <f t="shared" si="41"/>
        <v>137</v>
      </c>
      <c r="G47" s="19">
        <f t="shared" si="41"/>
        <v>141</v>
      </c>
      <c r="H47" s="19">
        <f t="shared" si="41"/>
        <v>164</v>
      </c>
      <c r="I47" s="46">
        <f t="shared" si="41"/>
        <v>65</v>
      </c>
      <c r="J47" s="30">
        <f t="shared" si="34"/>
        <v>642</v>
      </c>
      <c r="K47" s="15">
        <f t="shared" si="26"/>
        <v>0.8025</v>
      </c>
      <c r="L47" s="16">
        <f t="shared" si="42"/>
        <v>642</v>
      </c>
      <c r="M47" s="59">
        <f t="shared" si="28"/>
        <v>0.8025</v>
      </c>
      <c r="N47" s="18">
        <f t="shared" si="37"/>
        <v>22</v>
      </c>
      <c r="O47" s="18">
        <f t="shared" ref="O47:P47" si="43">O19</f>
        <v>22</v>
      </c>
      <c r="P47" s="68" t="str">
        <f t="shared" si="43"/>
        <v>as of September 30, 2025</v>
      </c>
    </row>
    <row r="48">
      <c r="A48" s="10">
        <v>15.0</v>
      </c>
      <c r="B48" s="11" t="s">
        <v>38</v>
      </c>
      <c r="C48" s="11" t="s">
        <v>19</v>
      </c>
      <c r="D48" s="19">
        <f t="shared" ref="D48:I48" si="44">D20</f>
        <v>5500</v>
      </c>
      <c r="E48" s="19">
        <f t="shared" si="44"/>
        <v>943</v>
      </c>
      <c r="F48" s="19">
        <f t="shared" si="44"/>
        <v>1206</v>
      </c>
      <c r="G48" s="19">
        <f t="shared" si="44"/>
        <v>1070</v>
      </c>
      <c r="H48" s="19">
        <f t="shared" si="44"/>
        <v>944</v>
      </c>
      <c r="I48" s="46">
        <f t="shared" si="44"/>
        <v>416</v>
      </c>
      <c r="J48" s="30">
        <f t="shared" si="34"/>
        <v>4579</v>
      </c>
      <c r="K48" s="15">
        <f t="shared" si="26"/>
        <v>0.8325454545</v>
      </c>
      <c r="L48" s="16">
        <f t="shared" si="42"/>
        <v>4579</v>
      </c>
      <c r="M48" s="59">
        <f t="shared" si="28"/>
        <v>0.8325454545</v>
      </c>
      <c r="N48" s="18">
        <f t="shared" si="37"/>
        <v>22</v>
      </c>
      <c r="O48" s="18">
        <f t="shared" ref="O48:P48" si="45">O20</f>
        <v>22</v>
      </c>
      <c r="P48" s="68" t="str">
        <f t="shared" si="45"/>
        <v>as of September 30, 2025</v>
      </c>
    </row>
    <row r="49">
      <c r="A49" s="10">
        <v>20.0</v>
      </c>
      <c r="B49" s="10" t="s">
        <v>39</v>
      </c>
      <c r="C49" s="11" t="s">
        <v>19</v>
      </c>
      <c r="D49" s="19">
        <f t="shared" ref="D49:I49" si="46">D21</f>
        <v>4400</v>
      </c>
      <c r="E49" s="19">
        <f t="shared" si="46"/>
        <v>863</v>
      </c>
      <c r="F49" s="19">
        <f t="shared" si="46"/>
        <v>1001</v>
      </c>
      <c r="G49" s="19">
        <f t="shared" si="46"/>
        <v>947</v>
      </c>
      <c r="H49" s="19">
        <f t="shared" si="46"/>
        <v>894</v>
      </c>
      <c r="I49" s="46">
        <f t="shared" si="46"/>
        <v>281</v>
      </c>
      <c r="J49" s="30">
        <f t="shared" si="34"/>
        <v>3986</v>
      </c>
      <c r="K49" s="15">
        <f t="shared" si="26"/>
        <v>0.9059090909</v>
      </c>
      <c r="L49" s="16">
        <f t="shared" si="42"/>
        <v>3986</v>
      </c>
      <c r="M49" s="59">
        <f t="shared" si="28"/>
        <v>0.9059090909</v>
      </c>
      <c r="N49" s="18">
        <f t="shared" si="37"/>
        <v>22</v>
      </c>
      <c r="O49" s="18">
        <f t="shared" ref="O49:P49" si="47">O21</f>
        <v>22</v>
      </c>
      <c r="P49" s="68" t="str">
        <f t="shared" si="47"/>
        <v>as of September 30, 2025</v>
      </c>
    </row>
    <row r="50">
      <c r="A50" s="10">
        <v>15.0</v>
      </c>
      <c r="B50" s="10" t="s">
        <v>77</v>
      </c>
      <c r="C50" s="11" t="s">
        <v>19</v>
      </c>
      <c r="D50" s="12">
        <v>180.0</v>
      </c>
      <c r="E50" s="19">
        <v>25.0</v>
      </c>
      <c r="F50" s="29">
        <v>49.0</v>
      </c>
      <c r="G50" s="29">
        <v>48.0</v>
      </c>
      <c r="H50" s="29">
        <v>38.0</v>
      </c>
      <c r="I50" s="29">
        <v>11.0</v>
      </c>
      <c r="J50" s="30">
        <f t="shared" si="34"/>
        <v>171</v>
      </c>
      <c r="K50" s="15">
        <f t="shared" si="26"/>
        <v>0.95</v>
      </c>
      <c r="L50" s="16">
        <f t="shared" ref="L50:L53" si="49">J50/O50*N50</f>
        <v>171</v>
      </c>
      <c r="M50" s="59">
        <f t="shared" si="28"/>
        <v>0.95</v>
      </c>
      <c r="N50" s="18">
        <f t="shared" si="37"/>
        <v>22</v>
      </c>
      <c r="O50" s="18">
        <f t="shared" ref="O50:P50" si="48">O22</f>
        <v>22</v>
      </c>
      <c r="P50" s="86" t="str">
        <f t="shared" si="48"/>
        <v>as of September 30, 2025 - FINAL</v>
      </c>
    </row>
    <row r="51">
      <c r="A51" s="10">
        <v>21.0</v>
      </c>
      <c r="B51" s="10" t="s">
        <v>73</v>
      </c>
      <c r="C51" s="11" t="s">
        <v>19</v>
      </c>
      <c r="D51" s="12">
        <v>1913.0</v>
      </c>
      <c r="E51" s="19">
        <v>405.0</v>
      </c>
      <c r="F51" s="29">
        <v>219.0</v>
      </c>
      <c r="G51" s="29">
        <v>305.0</v>
      </c>
      <c r="H51" s="87">
        <v>213.0</v>
      </c>
      <c r="I51" s="88">
        <v>789.0</v>
      </c>
      <c r="J51" s="30">
        <f t="shared" si="34"/>
        <v>1931</v>
      </c>
      <c r="K51" s="15">
        <f t="shared" si="26"/>
        <v>1.009409305</v>
      </c>
      <c r="L51" s="16">
        <f t="shared" si="49"/>
        <v>1931</v>
      </c>
      <c r="M51" s="59">
        <f t="shared" si="28"/>
        <v>1.009409305</v>
      </c>
      <c r="N51" s="18">
        <v>22.0</v>
      </c>
      <c r="O51" s="18">
        <v>22.0</v>
      </c>
      <c r="P51" s="20" t="s">
        <v>146</v>
      </c>
    </row>
    <row r="52">
      <c r="A52" s="10">
        <v>5.0</v>
      </c>
      <c r="B52" s="10" t="s">
        <v>134</v>
      </c>
      <c r="C52" s="11" t="s">
        <v>19</v>
      </c>
      <c r="D52" s="12">
        <v>4.25E7</v>
      </c>
      <c r="E52" s="12">
        <v>6818000.0</v>
      </c>
      <c r="F52" s="12">
        <v>1.159999727E7</v>
      </c>
      <c r="G52" s="12">
        <v>8245800.0</v>
      </c>
      <c r="H52" s="94">
        <v>9782400.0</v>
      </c>
      <c r="I52" s="94">
        <v>6053802.73</v>
      </c>
      <c r="J52" s="14">
        <f t="shared" si="34"/>
        <v>42500000</v>
      </c>
      <c r="K52" s="15">
        <f t="shared" si="26"/>
        <v>1</v>
      </c>
      <c r="L52" s="95">
        <f t="shared" si="49"/>
        <v>42500000</v>
      </c>
      <c r="M52" s="59">
        <f t="shared" si="28"/>
        <v>1</v>
      </c>
      <c r="N52" s="18">
        <v>22.0</v>
      </c>
      <c r="O52" s="18">
        <v>22.0</v>
      </c>
      <c r="P52" s="20" t="s">
        <v>146</v>
      </c>
    </row>
    <row r="53">
      <c r="A53" s="10">
        <v>1.0</v>
      </c>
      <c r="B53" s="10" t="s">
        <v>43</v>
      </c>
      <c r="C53" s="11" t="s">
        <v>19</v>
      </c>
      <c r="D53" s="12">
        <v>30.0</v>
      </c>
      <c r="E53" s="12">
        <v>11.0</v>
      </c>
      <c r="F53" s="12">
        <v>8.0</v>
      </c>
      <c r="G53" s="12">
        <v>8.0</v>
      </c>
      <c r="H53" s="12">
        <v>7.0</v>
      </c>
      <c r="I53" s="12">
        <v>2.0</v>
      </c>
      <c r="J53" s="14">
        <f t="shared" si="34"/>
        <v>36</v>
      </c>
      <c r="K53" s="15">
        <f t="shared" si="26"/>
        <v>1.2</v>
      </c>
      <c r="L53" s="16">
        <f t="shared" si="49"/>
        <v>37.71428571</v>
      </c>
      <c r="M53" s="59">
        <f t="shared" si="28"/>
        <v>1.257142857</v>
      </c>
      <c r="N53" s="18">
        <v>22.0</v>
      </c>
      <c r="O53" s="18">
        <f t="shared" ref="O53:P53" si="50">O25</f>
        <v>21</v>
      </c>
      <c r="P53" s="86" t="str">
        <f t="shared" si="50"/>
        <v>as of September 30, 2025 FINAL</v>
      </c>
    </row>
    <row r="54">
      <c r="A54" s="10">
        <v>45.0</v>
      </c>
      <c r="B54" s="10" t="s">
        <v>44</v>
      </c>
      <c r="C54" s="11" t="s">
        <v>19</v>
      </c>
      <c r="D54" s="21">
        <v>0.85</v>
      </c>
      <c r="E54" s="21">
        <v>0.83</v>
      </c>
      <c r="F54" s="24">
        <v>0.86</v>
      </c>
      <c r="G54" s="24">
        <v>0.86</v>
      </c>
      <c r="H54" s="24">
        <v>0.9145</v>
      </c>
      <c r="I54" s="24">
        <v>0.86</v>
      </c>
      <c r="J54" s="57">
        <f>AVERAGE(E54:I54)</f>
        <v>0.8649</v>
      </c>
      <c r="K54" s="15">
        <f t="shared" si="26"/>
        <v>1.017529412</v>
      </c>
      <c r="L54" s="15">
        <f>K54</f>
        <v>1.017529412</v>
      </c>
      <c r="M54" s="59">
        <f t="shared" ref="M54:M55" si="54">K54</f>
        <v>1.017529412</v>
      </c>
      <c r="N54" s="18">
        <f t="shared" ref="N54:P54" si="51">N26</f>
        <v>30</v>
      </c>
      <c r="O54" s="18">
        <f t="shared" si="51"/>
        <v>29</v>
      </c>
      <c r="P54" s="86" t="str">
        <f t="shared" si="51"/>
        <v>as of September 30, 2025 FINAL</v>
      </c>
    </row>
    <row r="55">
      <c r="A55" s="10">
        <v>69.0</v>
      </c>
      <c r="B55" s="10" t="s">
        <v>120</v>
      </c>
      <c r="C55" s="10" t="s">
        <v>121</v>
      </c>
      <c r="D55" s="21">
        <f>D27</f>
        <v>0.85</v>
      </c>
      <c r="E55" s="23">
        <v>0.7428</v>
      </c>
      <c r="F55" s="23">
        <v>0.7182</v>
      </c>
      <c r="G55" s="23">
        <v>0.8192</v>
      </c>
      <c r="H55" s="23">
        <v>0.7311</v>
      </c>
      <c r="I55" s="23" t="str">
        <f t="shared" ref="I55:J55" si="52">I27</f>
        <v/>
      </c>
      <c r="J55" s="23">
        <f t="shared" si="52"/>
        <v>0.7311</v>
      </c>
      <c r="K55" s="15">
        <f t="shared" ref="K55:L55" si="53">J55</f>
        <v>0.7311</v>
      </c>
      <c r="L55" s="15">
        <f t="shared" si="53"/>
        <v>0.7311</v>
      </c>
      <c r="M55" s="59">
        <f t="shared" si="54"/>
        <v>0.7311</v>
      </c>
      <c r="N55" s="19">
        <f t="shared" ref="N55:P55" si="55">N27</f>
        <v>30</v>
      </c>
      <c r="O55" s="19">
        <f t="shared" si="55"/>
        <v>30</v>
      </c>
      <c r="P55" s="23" t="str">
        <f t="shared" si="55"/>
        <v>as of September 30, 2025 FINAL</v>
      </c>
    </row>
    <row r="56">
      <c r="A56" s="35"/>
      <c r="B56" s="35"/>
      <c r="C56" s="35"/>
      <c r="D56" s="38"/>
      <c r="E56" s="38"/>
      <c r="F56" s="38"/>
      <c r="G56" s="38"/>
      <c r="H56" s="38"/>
      <c r="I56" s="38"/>
      <c r="J56" s="38"/>
      <c r="K56" s="38"/>
      <c r="L56" s="38"/>
      <c r="M56" s="74"/>
      <c r="N56" s="38"/>
      <c r="O56" s="38"/>
    </row>
    <row r="57">
      <c r="A57" s="35"/>
      <c r="B57" s="35"/>
      <c r="C57" s="35"/>
      <c r="D57" s="38"/>
      <c r="E57" s="38"/>
      <c r="F57" s="36"/>
      <c r="G57" s="38"/>
      <c r="H57" s="38"/>
      <c r="I57" s="38"/>
      <c r="J57" s="55"/>
      <c r="K57" s="56"/>
      <c r="L57" s="38"/>
      <c r="M57" s="38"/>
      <c r="N57" s="38"/>
      <c r="O57" s="38"/>
    </row>
    <row r="58">
      <c r="A58" s="35"/>
      <c r="B58" s="35"/>
      <c r="C58" s="35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68">
        <f>1427*12</f>
        <v>17124</v>
      </c>
    </row>
    <row r="59">
      <c r="A59" s="35"/>
      <c r="C59" s="35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</row>
    <row r="60">
      <c r="A60" s="35"/>
      <c r="B60" s="35"/>
      <c r="C60" s="35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</row>
    <row r="61">
      <c r="A61" s="35"/>
      <c r="B61" s="35"/>
      <c r="C61" s="35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</row>
    <row r="62">
      <c r="A62" s="35"/>
      <c r="B62" s="35"/>
      <c r="C62" s="35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</row>
    <row r="63">
      <c r="A63" s="35"/>
      <c r="B63" s="35"/>
      <c r="C63" s="35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</row>
    <row r="64">
      <c r="A64" s="35"/>
      <c r="B64" s="35"/>
      <c r="C64" s="35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</row>
    <row r="65">
      <c r="A65" s="35"/>
      <c r="B65" s="35"/>
      <c r="C65" s="35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</row>
    <row r="66">
      <c r="A66" s="35"/>
      <c r="B66" s="35"/>
      <c r="C66" s="35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</row>
    <row r="67">
      <c r="A67" s="35"/>
      <c r="B67" s="35"/>
      <c r="C67" s="35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</row>
    <row r="68">
      <c r="A68" s="35"/>
      <c r="B68" s="35"/>
      <c r="C68" s="35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</row>
    <row r="69">
      <c r="A69" s="35"/>
      <c r="B69" s="35"/>
      <c r="C69" s="35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</row>
    <row r="70">
      <c r="A70" s="35"/>
      <c r="B70" s="35"/>
      <c r="C70" s="35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</row>
    <row r="71">
      <c r="A71" s="35"/>
      <c r="B71" s="35"/>
      <c r="C71" s="35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</row>
    <row r="72">
      <c r="A72" s="35"/>
      <c r="B72" s="35"/>
      <c r="C72" s="35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</row>
    <row r="73">
      <c r="A73" s="35"/>
      <c r="B73" s="35"/>
      <c r="C73" s="35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</row>
    <row r="74">
      <c r="A74" s="35"/>
      <c r="B74" s="35"/>
      <c r="C74" s="35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</row>
    <row r="75">
      <c r="A75" s="35"/>
      <c r="B75" s="35"/>
      <c r="C75" s="35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</row>
    <row r="76">
      <c r="A76" s="35"/>
      <c r="B76" s="35"/>
      <c r="C76" s="35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</row>
    <row r="77">
      <c r="A77" s="35"/>
      <c r="B77" s="35"/>
      <c r="C77" s="35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</row>
    <row r="78">
      <c r="A78" s="35"/>
      <c r="B78" s="35"/>
      <c r="C78" s="35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</row>
    <row r="79">
      <c r="A79" s="35"/>
      <c r="B79" s="35"/>
      <c r="C79" s="35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</row>
    <row r="80">
      <c r="A80" s="35"/>
      <c r="B80" s="35"/>
      <c r="C80" s="35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</row>
    <row r="81">
      <c r="A81" s="35"/>
      <c r="B81" s="35"/>
      <c r="C81" s="35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</row>
    <row r="82">
      <c r="A82" s="35"/>
      <c r="B82" s="35"/>
      <c r="C82" s="35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</row>
    <row r="83">
      <c r="A83" s="35"/>
      <c r="B83" s="35"/>
      <c r="C83" s="35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</row>
    <row r="84">
      <c r="A84" s="35"/>
      <c r="B84" s="35"/>
      <c r="C84" s="35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</row>
    <row r="85">
      <c r="A85" s="35"/>
      <c r="B85" s="35"/>
      <c r="C85" s="35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</row>
    <row r="86">
      <c r="A86" s="35"/>
      <c r="B86" s="35"/>
      <c r="C86" s="35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</row>
    <row r="87">
      <c r="A87" s="35"/>
      <c r="B87" s="35"/>
      <c r="C87" s="35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</row>
    <row r="88">
      <c r="A88" s="35"/>
      <c r="B88" s="35"/>
      <c r="C88" s="35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</row>
    <row r="89">
      <c r="A89" s="35"/>
      <c r="B89" s="35"/>
      <c r="C89" s="35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</row>
    <row r="90">
      <c r="A90" s="35"/>
      <c r="B90" s="35"/>
      <c r="C90" s="35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</row>
    <row r="91">
      <c r="A91" s="35"/>
      <c r="B91" s="35"/>
      <c r="C91" s="35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</row>
    <row r="92">
      <c r="A92" s="35"/>
      <c r="B92" s="35"/>
      <c r="C92" s="35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</row>
    <row r="93">
      <c r="A93" s="35"/>
      <c r="B93" s="35"/>
      <c r="C93" s="35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</row>
    <row r="94">
      <c r="A94" s="35"/>
      <c r="B94" s="35"/>
      <c r="C94" s="35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</row>
    <row r="95">
      <c r="A95" s="35"/>
      <c r="B95" s="35"/>
      <c r="C95" s="35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</row>
    <row r="96">
      <c r="A96" s="35"/>
      <c r="B96" s="35"/>
      <c r="C96" s="35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</row>
    <row r="97">
      <c r="A97" s="35"/>
      <c r="B97" s="35"/>
      <c r="C97" s="35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</row>
    <row r="98">
      <c r="A98" s="35"/>
      <c r="B98" s="35"/>
      <c r="C98" s="35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</row>
    <row r="99">
      <c r="A99" s="35"/>
      <c r="B99" s="35"/>
      <c r="C99" s="35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</row>
    <row r="100">
      <c r="A100" s="35"/>
      <c r="B100" s="35"/>
      <c r="C100" s="35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</row>
    <row r="101">
      <c r="A101" s="35"/>
      <c r="B101" s="35"/>
      <c r="C101" s="35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</row>
    <row r="102">
      <c r="A102" s="35"/>
      <c r="B102" s="35"/>
      <c r="C102" s="35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</row>
    <row r="103">
      <c r="A103" s="35"/>
      <c r="B103" s="35"/>
      <c r="C103" s="35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</row>
    <row r="104">
      <c r="A104" s="35"/>
      <c r="B104" s="35"/>
      <c r="C104" s="35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</row>
    <row r="105">
      <c r="A105" s="35"/>
      <c r="B105" s="35"/>
      <c r="C105" s="35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</row>
    <row r="106">
      <c r="A106" s="35"/>
      <c r="B106" s="35"/>
      <c r="C106" s="35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</row>
    <row r="107">
      <c r="A107" s="35"/>
      <c r="B107" s="35"/>
      <c r="C107" s="35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</row>
    <row r="108">
      <c r="A108" s="35"/>
      <c r="B108" s="35"/>
      <c r="C108" s="35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</row>
    <row r="109">
      <c r="A109" s="35"/>
      <c r="B109" s="35"/>
      <c r="C109" s="35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</row>
    <row r="110">
      <c r="A110" s="35"/>
      <c r="B110" s="35"/>
      <c r="C110" s="35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</row>
    <row r="111">
      <c r="A111" s="35"/>
      <c r="B111" s="35"/>
      <c r="C111" s="35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</row>
    <row r="112">
      <c r="A112" s="35"/>
      <c r="B112" s="35"/>
      <c r="C112" s="35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</row>
    <row r="113">
      <c r="A113" s="35"/>
      <c r="B113" s="35"/>
      <c r="C113" s="35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</row>
    <row r="114">
      <c r="A114" s="35"/>
      <c r="B114" s="35"/>
      <c r="C114" s="35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</row>
    <row r="115">
      <c r="A115" s="35"/>
      <c r="B115" s="35"/>
      <c r="C115" s="35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</row>
    <row r="116">
      <c r="A116" s="35"/>
      <c r="B116" s="35"/>
      <c r="C116" s="35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</row>
    <row r="117">
      <c r="A117" s="35"/>
      <c r="B117" s="35"/>
      <c r="C117" s="35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</row>
    <row r="118">
      <c r="A118" s="35"/>
      <c r="B118" s="35"/>
      <c r="C118" s="35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</row>
    <row r="119">
      <c r="A119" s="35"/>
      <c r="B119" s="35"/>
      <c r="C119" s="35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</row>
    <row r="120">
      <c r="A120" s="35"/>
      <c r="B120" s="35"/>
      <c r="C120" s="35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</row>
    <row r="121">
      <c r="A121" s="35"/>
      <c r="B121" s="35"/>
      <c r="C121" s="35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</row>
    <row r="122">
      <c r="A122" s="35"/>
      <c r="B122" s="35"/>
      <c r="C122" s="35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</row>
    <row r="123">
      <c r="A123" s="35"/>
      <c r="B123" s="35"/>
      <c r="C123" s="35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</row>
    <row r="124">
      <c r="A124" s="35"/>
      <c r="B124" s="35"/>
      <c r="C124" s="35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</row>
    <row r="125">
      <c r="A125" s="35"/>
      <c r="B125" s="35"/>
      <c r="C125" s="35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</row>
    <row r="126">
      <c r="A126" s="35"/>
      <c r="B126" s="35"/>
      <c r="C126" s="35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</row>
    <row r="127">
      <c r="A127" s="35"/>
      <c r="B127" s="35"/>
      <c r="C127" s="35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</row>
    <row r="128">
      <c r="A128" s="35"/>
      <c r="B128" s="35"/>
      <c r="C128" s="35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</row>
    <row r="129">
      <c r="A129" s="35"/>
      <c r="B129" s="35"/>
      <c r="C129" s="35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</row>
    <row r="130">
      <c r="A130" s="35"/>
      <c r="B130" s="35"/>
      <c r="C130" s="35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</row>
    <row r="131">
      <c r="A131" s="35"/>
      <c r="B131" s="35"/>
      <c r="C131" s="35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</row>
    <row r="132">
      <c r="A132" s="35"/>
      <c r="B132" s="35"/>
      <c r="C132" s="35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</row>
    <row r="133">
      <c r="A133" s="35"/>
      <c r="B133" s="35"/>
      <c r="C133" s="35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</row>
    <row r="134">
      <c r="A134" s="35"/>
      <c r="B134" s="35"/>
      <c r="C134" s="35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</row>
    <row r="135">
      <c r="A135" s="35"/>
      <c r="B135" s="35"/>
      <c r="C135" s="35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</row>
    <row r="136">
      <c r="A136" s="35"/>
      <c r="B136" s="35"/>
      <c r="C136" s="35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</row>
    <row r="137">
      <c r="A137" s="35"/>
      <c r="B137" s="35"/>
      <c r="C137" s="35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</row>
    <row r="138">
      <c r="A138" s="35"/>
      <c r="B138" s="35"/>
      <c r="C138" s="35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</row>
    <row r="139">
      <c r="A139" s="35"/>
      <c r="B139" s="35"/>
      <c r="C139" s="35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</row>
    <row r="140">
      <c r="A140" s="35"/>
      <c r="B140" s="35"/>
      <c r="C140" s="35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</row>
    <row r="141">
      <c r="A141" s="35"/>
      <c r="B141" s="35"/>
      <c r="C141" s="35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</row>
    <row r="142">
      <c r="A142" s="35"/>
      <c r="B142" s="35"/>
      <c r="C142" s="35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</row>
    <row r="143">
      <c r="A143" s="35"/>
      <c r="B143" s="35"/>
      <c r="C143" s="35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</row>
    <row r="144">
      <c r="A144" s="35"/>
      <c r="B144" s="35"/>
      <c r="C144" s="35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</row>
    <row r="145">
      <c r="A145" s="35"/>
      <c r="B145" s="35"/>
      <c r="C145" s="35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</row>
    <row r="146">
      <c r="A146" s="35"/>
      <c r="B146" s="35"/>
      <c r="C146" s="35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</row>
    <row r="147">
      <c r="A147" s="35"/>
      <c r="B147" s="35"/>
      <c r="C147" s="35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</row>
    <row r="148">
      <c r="A148" s="35"/>
      <c r="B148" s="35"/>
      <c r="C148" s="35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</row>
    <row r="149">
      <c r="A149" s="35"/>
      <c r="B149" s="35"/>
      <c r="C149" s="35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</row>
    <row r="150">
      <c r="A150" s="35"/>
      <c r="B150" s="35"/>
      <c r="C150" s="35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</row>
    <row r="151">
      <c r="A151" s="35"/>
      <c r="B151" s="35"/>
      <c r="C151" s="35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</row>
    <row r="152">
      <c r="A152" s="35"/>
      <c r="B152" s="35"/>
      <c r="C152" s="35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</row>
    <row r="153">
      <c r="A153" s="35"/>
      <c r="B153" s="35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</row>
    <row r="154">
      <c r="A154" s="35"/>
      <c r="B154" s="35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</row>
    <row r="155">
      <c r="A155" s="35"/>
      <c r="B155" s="35"/>
      <c r="C155" s="35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</row>
    <row r="156">
      <c r="A156" s="35"/>
      <c r="B156" s="35"/>
      <c r="C156" s="35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</row>
    <row r="157">
      <c r="A157" s="35"/>
      <c r="B157" s="35"/>
      <c r="C157" s="35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</row>
    <row r="158">
      <c r="A158" s="35"/>
      <c r="B158" s="35"/>
      <c r="C158" s="35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</row>
    <row r="159">
      <c r="A159" s="35"/>
      <c r="B159" s="35"/>
      <c r="C159" s="35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</row>
    <row r="160">
      <c r="A160" s="35"/>
      <c r="B160" s="35"/>
      <c r="C160" s="35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</row>
    <row r="161">
      <c r="A161" s="35"/>
      <c r="B161" s="35"/>
      <c r="C161" s="35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</row>
    <row r="162">
      <c r="A162" s="35"/>
      <c r="B162" s="35"/>
      <c r="C162" s="35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</row>
    <row r="163">
      <c r="A163" s="35"/>
      <c r="B163" s="35"/>
      <c r="C163" s="35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</row>
    <row r="164">
      <c r="A164" s="35"/>
      <c r="B164" s="35"/>
      <c r="C164" s="35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</row>
    <row r="165">
      <c r="A165" s="35"/>
      <c r="B165" s="35"/>
      <c r="C165" s="35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</row>
    <row r="166">
      <c r="A166" s="35"/>
      <c r="B166" s="35"/>
      <c r="C166" s="35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</row>
    <row r="167">
      <c r="A167" s="35"/>
      <c r="B167" s="35"/>
      <c r="C167" s="35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</row>
    <row r="168">
      <c r="A168" s="35"/>
      <c r="B168" s="35"/>
      <c r="C168" s="35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</row>
    <row r="169">
      <c r="A169" s="35"/>
      <c r="B169" s="35"/>
      <c r="C169" s="35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</row>
    <row r="170">
      <c r="A170" s="35"/>
      <c r="B170" s="35"/>
      <c r="C170" s="35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</row>
    <row r="171">
      <c r="A171" s="35"/>
      <c r="B171" s="35"/>
      <c r="C171" s="35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</row>
    <row r="172">
      <c r="A172" s="35"/>
      <c r="B172" s="35"/>
      <c r="C172" s="35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</row>
    <row r="173">
      <c r="A173" s="35"/>
      <c r="B173" s="35"/>
      <c r="C173" s="35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</row>
    <row r="174">
      <c r="A174" s="35"/>
      <c r="B174" s="35"/>
      <c r="C174" s="35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</row>
    <row r="175">
      <c r="A175" s="35"/>
      <c r="B175" s="35"/>
      <c r="C175" s="35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</row>
    <row r="176">
      <c r="A176" s="35"/>
      <c r="B176" s="35"/>
      <c r="C176" s="35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</row>
    <row r="177">
      <c r="A177" s="35"/>
      <c r="B177" s="35"/>
      <c r="C177" s="35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</row>
    <row r="178">
      <c r="A178" s="35"/>
      <c r="B178" s="35"/>
      <c r="C178" s="35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</row>
    <row r="179">
      <c r="A179" s="35"/>
      <c r="B179" s="35"/>
      <c r="C179" s="35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</row>
    <row r="180">
      <c r="A180" s="35"/>
      <c r="B180" s="35"/>
      <c r="C180" s="35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</row>
    <row r="181">
      <c r="A181" s="35"/>
      <c r="B181" s="35"/>
      <c r="C181" s="35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</row>
    <row r="182">
      <c r="A182" s="35"/>
      <c r="B182" s="35"/>
      <c r="C182" s="35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</row>
    <row r="183">
      <c r="A183" s="35"/>
      <c r="B183" s="35"/>
      <c r="C183" s="35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</row>
    <row r="184">
      <c r="A184" s="35"/>
      <c r="B184" s="35"/>
      <c r="C184" s="35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</row>
    <row r="185">
      <c r="A185" s="35"/>
      <c r="B185" s="35"/>
      <c r="C185" s="35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</row>
    <row r="186">
      <c r="A186" s="35"/>
      <c r="B186" s="35"/>
      <c r="C186" s="35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</row>
    <row r="187">
      <c r="A187" s="35"/>
      <c r="B187" s="35"/>
      <c r="C187" s="35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</row>
    <row r="188">
      <c r="A188" s="35"/>
      <c r="B188" s="35"/>
      <c r="C188" s="35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</row>
    <row r="189">
      <c r="A189" s="35"/>
      <c r="B189" s="35"/>
      <c r="C189" s="35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</row>
    <row r="190">
      <c r="A190" s="35"/>
      <c r="B190" s="35"/>
      <c r="C190" s="35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</row>
    <row r="191">
      <c r="A191" s="35"/>
      <c r="B191" s="35"/>
      <c r="C191" s="35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</row>
    <row r="192">
      <c r="A192" s="35"/>
      <c r="B192" s="35"/>
      <c r="C192" s="35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</row>
    <row r="193">
      <c r="A193" s="35"/>
      <c r="B193" s="35"/>
      <c r="C193" s="35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</row>
    <row r="194">
      <c r="A194" s="35"/>
      <c r="B194" s="35"/>
      <c r="C194" s="35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</row>
    <row r="195">
      <c r="A195" s="35"/>
      <c r="B195" s="35"/>
      <c r="C195" s="35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</row>
    <row r="196">
      <c r="A196" s="35"/>
      <c r="B196" s="35"/>
      <c r="C196" s="35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</row>
    <row r="197">
      <c r="A197" s="35"/>
      <c r="B197" s="35"/>
      <c r="C197" s="35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</row>
    <row r="198">
      <c r="A198" s="35"/>
      <c r="B198" s="35"/>
      <c r="C198" s="35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</row>
    <row r="199">
      <c r="A199" s="35"/>
      <c r="B199" s="35"/>
      <c r="C199" s="35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</row>
    <row r="200">
      <c r="A200" s="35"/>
      <c r="B200" s="35"/>
      <c r="C200" s="35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</row>
    <row r="201">
      <c r="A201" s="35"/>
      <c r="B201" s="35"/>
      <c r="C201" s="35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</row>
    <row r="202">
      <c r="A202" s="35"/>
      <c r="B202" s="35"/>
      <c r="C202" s="35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</row>
    <row r="203">
      <c r="A203" s="35"/>
      <c r="B203" s="35"/>
      <c r="C203" s="35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</row>
    <row r="204">
      <c r="A204" s="35"/>
      <c r="B204" s="35"/>
      <c r="C204" s="35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</row>
    <row r="205">
      <c r="A205" s="35"/>
      <c r="B205" s="35"/>
      <c r="C205" s="35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</row>
    <row r="206">
      <c r="A206" s="35"/>
      <c r="B206" s="35"/>
      <c r="C206" s="35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</row>
    <row r="207">
      <c r="A207" s="35"/>
      <c r="B207" s="35"/>
      <c r="C207" s="35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</row>
    <row r="208">
      <c r="A208" s="35"/>
      <c r="B208" s="35"/>
      <c r="C208" s="35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</row>
    <row r="209">
      <c r="A209" s="35"/>
      <c r="B209" s="35"/>
      <c r="C209" s="35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</row>
    <row r="210">
      <c r="A210" s="35"/>
      <c r="B210" s="35"/>
      <c r="C210" s="35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</row>
    <row r="211">
      <c r="A211" s="35"/>
      <c r="B211" s="35"/>
      <c r="C211" s="35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</row>
    <row r="212">
      <c r="A212" s="35"/>
      <c r="B212" s="35"/>
      <c r="C212" s="35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</row>
    <row r="213">
      <c r="A213" s="35"/>
      <c r="B213" s="35"/>
      <c r="C213" s="35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</row>
    <row r="214">
      <c r="A214" s="35"/>
      <c r="B214" s="35"/>
      <c r="C214" s="35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</row>
    <row r="215">
      <c r="A215" s="35"/>
      <c r="B215" s="35"/>
      <c r="C215" s="35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</row>
    <row r="216">
      <c r="A216" s="35"/>
      <c r="B216" s="35"/>
      <c r="C216" s="35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</row>
    <row r="217">
      <c r="A217" s="35"/>
      <c r="B217" s="35"/>
      <c r="C217" s="35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</row>
    <row r="218">
      <c r="A218" s="35"/>
      <c r="B218" s="35"/>
      <c r="C218" s="35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</row>
    <row r="219">
      <c r="A219" s="35"/>
      <c r="B219" s="35"/>
      <c r="C219" s="35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</row>
    <row r="220">
      <c r="A220" s="35"/>
      <c r="B220" s="35"/>
      <c r="C220" s="35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</row>
    <row r="221">
      <c r="A221" s="35"/>
      <c r="B221" s="35"/>
      <c r="C221" s="35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</row>
    <row r="222">
      <c r="A222" s="35"/>
      <c r="B222" s="35"/>
      <c r="C222" s="35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</row>
    <row r="223">
      <c r="A223" s="35"/>
      <c r="B223" s="35"/>
      <c r="C223" s="35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</row>
    <row r="224">
      <c r="A224" s="35"/>
      <c r="B224" s="35"/>
      <c r="C224" s="35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</row>
    <row r="225">
      <c r="A225" s="35"/>
      <c r="B225" s="35"/>
      <c r="C225" s="35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</row>
    <row r="226">
      <c r="A226" s="35"/>
      <c r="B226" s="35"/>
      <c r="C226" s="35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</row>
    <row r="227">
      <c r="A227" s="35"/>
      <c r="B227" s="35"/>
      <c r="C227" s="35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</row>
    <row r="228">
      <c r="A228" s="35"/>
      <c r="B228" s="35"/>
      <c r="C228" s="35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</row>
    <row r="229">
      <c r="A229" s="35"/>
      <c r="B229" s="35"/>
      <c r="C229" s="35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</row>
    <row r="230">
      <c r="A230" s="35"/>
      <c r="B230" s="35"/>
      <c r="C230" s="35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</row>
    <row r="231">
      <c r="A231" s="35"/>
      <c r="B231" s="35"/>
      <c r="C231" s="35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</row>
    <row r="232">
      <c r="A232" s="35"/>
      <c r="B232" s="35"/>
      <c r="C232" s="35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</row>
    <row r="233">
      <c r="A233" s="35"/>
      <c r="B233" s="35"/>
      <c r="C233" s="35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</row>
    <row r="234">
      <c r="A234" s="35"/>
      <c r="B234" s="35"/>
      <c r="C234" s="35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</row>
    <row r="235">
      <c r="A235" s="35"/>
      <c r="B235" s="35"/>
      <c r="C235" s="35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</row>
    <row r="236">
      <c r="A236" s="35"/>
      <c r="B236" s="35"/>
      <c r="C236" s="35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</row>
    <row r="237">
      <c r="A237" s="35"/>
      <c r="B237" s="35"/>
      <c r="C237" s="35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</row>
    <row r="238">
      <c r="A238" s="35"/>
      <c r="B238" s="35"/>
      <c r="C238" s="35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</row>
    <row r="239">
      <c r="A239" s="35"/>
      <c r="B239" s="35"/>
      <c r="C239" s="35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</row>
    <row r="240">
      <c r="A240" s="35"/>
      <c r="B240" s="35"/>
      <c r="C240" s="35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</row>
    <row r="241">
      <c r="A241" s="35"/>
      <c r="B241" s="35"/>
      <c r="C241" s="35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</row>
    <row r="242">
      <c r="A242" s="35"/>
      <c r="B242" s="35"/>
      <c r="C242" s="35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</row>
    <row r="243">
      <c r="A243" s="35"/>
      <c r="B243" s="35"/>
      <c r="C243" s="35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</row>
    <row r="244">
      <c r="A244" s="35"/>
      <c r="B244" s="35"/>
      <c r="C244" s="35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</row>
    <row r="245">
      <c r="A245" s="35"/>
      <c r="B245" s="35"/>
      <c r="C245" s="35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</row>
    <row r="246">
      <c r="A246" s="35"/>
      <c r="B246" s="35"/>
      <c r="C246" s="35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</row>
    <row r="247">
      <c r="A247" s="35"/>
      <c r="B247" s="35"/>
      <c r="C247" s="35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</row>
    <row r="248">
      <c r="A248" s="35"/>
      <c r="B248" s="35"/>
      <c r="C248" s="35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</row>
    <row r="249">
      <c r="A249" s="35"/>
      <c r="B249" s="35"/>
      <c r="C249" s="35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</row>
    <row r="250">
      <c r="A250" s="35"/>
      <c r="B250" s="35"/>
      <c r="C250" s="35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</row>
    <row r="251">
      <c r="A251" s="35"/>
      <c r="B251" s="35"/>
      <c r="C251" s="35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</row>
    <row r="252">
      <c r="A252" s="35"/>
      <c r="B252" s="35"/>
      <c r="C252" s="35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</row>
    <row r="253">
      <c r="A253" s="35"/>
      <c r="B253" s="35"/>
      <c r="C253" s="35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</row>
    <row r="254">
      <c r="A254" s="35"/>
      <c r="B254" s="35"/>
      <c r="C254" s="35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</row>
    <row r="255">
      <c r="A255" s="35"/>
      <c r="B255" s="35"/>
      <c r="C255" s="35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</row>
    <row r="256">
      <c r="A256" s="35"/>
      <c r="B256" s="35"/>
      <c r="C256" s="35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</row>
    <row r="257">
      <c r="A257" s="35"/>
      <c r="B257" s="35"/>
      <c r="C257" s="35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</row>
    <row r="258">
      <c r="A258" s="35"/>
      <c r="B258" s="35"/>
      <c r="C258" s="35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</row>
    <row r="259">
      <c r="A259" s="35"/>
      <c r="B259" s="35"/>
      <c r="C259" s="35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</row>
    <row r="260">
      <c r="A260" s="35"/>
      <c r="B260" s="35"/>
      <c r="C260" s="35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</row>
    <row r="261">
      <c r="A261" s="35"/>
      <c r="B261" s="35"/>
      <c r="C261" s="35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</row>
    <row r="262">
      <c r="A262" s="35"/>
      <c r="B262" s="35"/>
      <c r="C262" s="35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</row>
    <row r="263">
      <c r="A263" s="35"/>
      <c r="B263" s="35"/>
      <c r="C263" s="35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</row>
    <row r="264">
      <c r="A264" s="35"/>
      <c r="B264" s="35"/>
      <c r="C264" s="35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</row>
    <row r="265">
      <c r="A265" s="35"/>
      <c r="B265" s="35"/>
      <c r="C265" s="35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</row>
    <row r="266">
      <c r="A266" s="35"/>
      <c r="B266" s="35"/>
      <c r="C266" s="35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</row>
    <row r="267">
      <c r="A267" s="35"/>
      <c r="B267" s="35"/>
      <c r="C267" s="35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</row>
    <row r="268">
      <c r="A268" s="35"/>
      <c r="B268" s="35"/>
      <c r="C268" s="35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</row>
    <row r="269">
      <c r="A269" s="35"/>
      <c r="B269" s="35"/>
      <c r="C269" s="35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</row>
    <row r="270">
      <c r="A270" s="35"/>
      <c r="B270" s="35"/>
      <c r="C270" s="35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</row>
    <row r="271">
      <c r="A271" s="35"/>
      <c r="B271" s="35"/>
      <c r="C271" s="35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</row>
    <row r="272">
      <c r="A272" s="35"/>
      <c r="B272" s="35"/>
      <c r="C272" s="35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</row>
    <row r="273">
      <c r="A273" s="35"/>
      <c r="B273" s="35"/>
      <c r="C273" s="35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</row>
    <row r="274">
      <c r="A274" s="35"/>
      <c r="B274" s="35"/>
      <c r="C274" s="35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</row>
    <row r="275">
      <c r="A275" s="35"/>
      <c r="B275" s="35"/>
      <c r="C275" s="35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</row>
    <row r="276">
      <c r="A276" s="35"/>
      <c r="B276" s="35"/>
      <c r="C276" s="35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</row>
    <row r="277">
      <c r="A277" s="35"/>
      <c r="B277" s="35"/>
      <c r="C277" s="35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</row>
    <row r="278">
      <c r="A278" s="35"/>
      <c r="B278" s="35"/>
      <c r="C278" s="35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</row>
    <row r="279">
      <c r="A279" s="35"/>
      <c r="B279" s="35"/>
      <c r="C279" s="35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</row>
    <row r="280">
      <c r="A280" s="35"/>
      <c r="B280" s="35"/>
      <c r="C280" s="35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</row>
    <row r="281">
      <c r="A281" s="35"/>
      <c r="B281" s="35"/>
      <c r="C281" s="35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</row>
    <row r="282">
      <c r="A282" s="35"/>
      <c r="B282" s="35"/>
      <c r="C282" s="35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</row>
    <row r="283">
      <c r="A283" s="35"/>
      <c r="B283" s="35"/>
      <c r="C283" s="35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</row>
    <row r="284">
      <c r="A284" s="35"/>
      <c r="B284" s="35"/>
      <c r="C284" s="35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</row>
    <row r="285">
      <c r="A285" s="35"/>
      <c r="B285" s="35"/>
      <c r="C285" s="35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</row>
    <row r="286">
      <c r="A286" s="35"/>
      <c r="B286" s="35"/>
      <c r="C286" s="35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</row>
    <row r="287">
      <c r="A287" s="35"/>
      <c r="B287" s="35"/>
      <c r="C287" s="35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</row>
    <row r="288">
      <c r="A288" s="35"/>
      <c r="B288" s="35"/>
      <c r="C288" s="35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</row>
    <row r="289">
      <c r="A289" s="35"/>
      <c r="B289" s="35"/>
      <c r="C289" s="35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</row>
    <row r="290">
      <c r="A290" s="35"/>
      <c r="B290" s="35"/>
      <c r="C290" s="35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</row>
    <row r="291">
      <c r="A291" s="35"/>
      <c r="B291" s="35"/>
      <c r="C291" s="35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</row>
    <row r="292">
      <c r="A292" s="35"/>
      <c r="B292" s="35"/>
      <c r="C292" s="35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</row>
    <row r="293">
      <c r="A293" s="35"/>
      <c r="B293" s="35"/>
      <c r="C293" s="35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</row>
    <row r="294">
      <c r="A294" s="35"/>
      <c r="B294" s="35"/>
      <c r="C294" s="35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</row>
    <row r="295">
      <c r="A295" s="35"/>
      <c r="B295" s="35"/>
      <c r="C295" s="35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</row>
    <row r="296">
      <c r="A296" s="35"/>
      <c r="B296" s="35"/>
      <c r="C296" s="35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</row>
    <row r="297">
      <c r="A297" s="35"/>
      <c r="B297" s="35"/>
      <c r="C297" s="35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</row>
    <row r="298">
      <c r="A298" s="35"/>
      <c r="B298" s="35"/>
      <c r="C298" s="35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</row>
    <row r="299">
      <c r="A299" s="35"/>
      <c r="B299" s="35"/>
      <c r="C299" s="35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</row>
    <row r="300">
      <c r="A300" s="35"/>
      <c r="B300" s="35"/>
      <c r="C300" s="35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</row>
    <row r="301">
      <c r="A301" s="35"/>
      <c r="B301" s="35"/>
      <c r="C301" s="35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</row>
    <row r="302">
      <c r="A302" s="35"/>
      <c r="B302" s="35"/>
      <c r="C302" s="35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</row>
    <row r="303">
      <c r="A303" s="35"/>
      <c r="B303" s="35"/>
      <c r="C303" s="35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</row>
    <row r="304">
      <c r="A304" s="35"/>
      <c r="B304" s="35"/>
      <c r="C304" s="35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</row>
    <row r="305">
      <c r="A305" s="35"/>
      <c r="B305" s="35"/>
      <c r="C305" s="35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</row>
    <row r="306">
      <c r="A306" s="35"/>
      <c r="B306" s="35"/>
      <c r="C306" s="35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</row>
    <row r="307">
      <c r="A307" s="35"/>
      <c r="B307" s="35"/>
      <c r="C307" s="35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</row>
    <row r="308">
      <c r="A308" s="35"/>
      <c r="B308" s="35"/>
      <c r="C308" s="35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</row>
    <row r="309">
      <c r="A309" s="35"/>
      <c r="B309" s="35"/>
      <c r="C309" s="35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</row>
    <row r="310">
      <c r="A310" s="35"/>
      <c r="B310" s="35"/>
      <c r="C310" s="35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</row>
    <row r="311">
      <c r="A311" s="35"/>
      <c r="B311" s="35"/>
      <c r="C311" s="35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</row>
    <row r="312">
      <c r="A312" s="35"/>
      <c r="B312" s="35"/>
      <c r="C312" s="35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</row>
    <row r="313">
      <c r="A313" s="35"/>
      <c r="B313" s="35"/>
      <c r="C313" s="35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</row>
    <row r="314">
      <c r="A314" s="35"/>
      <c r="B314" s="35"/>
      <c r="C314" s="35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</row>
    <row r="315">
      <c r="A315" s="35"/>
      <c r="B315" s="35"/>
      <c r="C315" s="35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</row>
    <row r="316">
      <c r="A316" s="35"/>
      <c r="B316" s="35"/>
      <c r="C316" s="35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</row>
    <row r="317">
      <c r="A317" s="35"/>
      <c r="B317" s="35"/>
      <c r="C317" s="35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</row>
    <row r="318">
      <c r="A318" s="35"/>
      <c r="B318" s="35"/>
      <c r="C318" s="35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</row>
    <row r="319">
      <c r="A319" s="35"/>
      <c r="B319" s="35"/>
      <c r="C319" s="35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</row>
    <row r="320">
      <c r="A320" s="35"/>
      <c r="B320" s="35"/>
      <c r="C320" s="35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</row>
    <row r="321">
      <c r="A321" s="35"/>
      <c r="B321" s="35"/>
      <c r="C321" s="35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</row>
    <row r="322">
      <c r="A322" s="35"/>
      <c r="B322" s="35"/>
      <c r="C322" s="35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</row>
    <row r="323">
      <c r="A323" s="35"/>
      <c r="B323" s="35"/>
      <c r="C323" s="35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</row>
    <row r="324">
      <c r="A324" s="35"/>
      <c r="B324" s="35"/>
      <c r="C324" s="35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</row>
    <row r="325">
      <c r="A325" s="35"/>
      <c r="B325" s="35"/>
      <c r="C325" s="35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</row>
    <row r="326">
      <c r="A326" s="35"/>
      <c r="B326" s="35"/>
      <c r="C326" s="35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</row>
    <row r="327">
      <c r="A327" s="35"/>
      <c r="B327" s="35"/>
      <c r="C327" s="35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</row>
    <row r="328">
      <c r="A328" s="35"/>
      <c r="B328" s="35"/>
      <c r="C328" s="35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</row>
    <row r="329">
      <c r="A329" s="35"/>
      <c r="B329" s="35"/>
      <c r="C329" s="35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</row>
    <row r="330">
      <c r="A330" s="35"/>
      <c r="B330" s="35"/>
      <c r="C330" s="35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</row>
    <row r="331">
      <c r="A331" s="35"/>
      <c r="B331" s="35"/>
      <c r="C331" s="35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</row>
    <row r="332">
      <c r="A332" s="35"/>
      <c r="B332" s="35"/>
      <c r="C332" s="35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</row>
    <row r="333">
      <c r="A333" s="35"/>
      <c r="B333" s="35"/>
      <c r="C333" s="35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</row>
    <row r="334">
      <c r="A334" s="35"/>
      <c r="B334" s="35"/>
      <c r="C334" s="35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</row>
    <row r="335">
      <c r="A335" s="35"/>
      <c r="B335" s="35"/>
      <c r="C335" s="35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</row>
    <row r="336">
      <c r="A336" s="35"/>
      <c r="B336" s="35"/>
      <c r="C336" s="35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</row>
    <row r="337">
      <c r="A337" s="35"/>
      <c r="B337" s="35"/>
      <c r="C337" s="35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</row>
    <row r="338">
      <c r="A338" s="35"/>
      <c r="B338" s="35"/>
      <c r="C338" s="35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</row>
    <row r="339">
      <c r="A339" s="35"/>
      <c r="B339" s="35"/>
      <c r="C339" s="35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</row>
    <row r="340">
      <c r="A340" s="35"/>
      <c r="B340" s="35"/>
      <c r="C340" s="35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</row>
    <row r="341">
      <c r="A341" s="35"/>
      <c r="B341" s="35"/>
      <c r="C341" s="35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</row>
    <row r="342">
      <c r="A342" s="35"/>
      <c r="B342" s="35"/>
      <c r="C342" s="35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</row>
    <row r="343">
      <c r="A343" s="35"/>
      <c r="B343" s="35"/>
      <c r="C343" s="35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</row>
    <row r="344">
      <c r="A344" s="35"/>
      <c r="B344" s="35"/>
      <c r="C344" s="35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</row>
    <row r="345">
      <c r="A345" s="35"/>
      <c r="B345" s="35"/>
      <c r="C345" s="35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</row>
    <row r="346">
      <c r="A346" s="35"/>
      <c r="B346" s="35"/>
      <c r="C346" s="35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</row>
    <row r="347">
      <c r="A347" s="35"/>
      <c r="B347" s="35"/>
      <c r="C347" s="35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</row>
    <row r="348">
      <c r="A348" s="35"/>
      <c r="B348" s="35"/>
      <c r="C348" s="35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</row>
    <row r="349">
      <c r="A349" s="35"/>
      <c r="B349" s="35"/>
      <c r="C349" s="35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</row>
    <row r="350">
      <c r="A350" s="35"/>
      <c r="B350" s="35"/>
      <c r="C350" s="35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</row>
    <row r="351">
      <c r="A351" s="35"/>
      <c r="B351" s="35"/>
      <c r="C351" s="35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</row>
    <row r="352">
      <c r="A352" s="35"/>
      <c r="B352" s="35"/>
      <c r="C352" s="35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</row>
    <row r="353">
      <c r="A353" s="35"/>
      <c r="B353" s="35"/>
      <c r="C353" s="35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</row>
    <row r="354">
      <c r="A354" s="35"/>
      <c r="B354" s="35"/>
      <c r="C354" s="35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</row>
    <row r="355">
      <c r="A355" s="35"/>
      <c r="B355" s="35"/>
      <c r="C355" s="35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</row>
    <row r="356">
      <c r="A356" s="35"/>
      <c r="B356" s="35"/>
      <c r="C356" s="35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</row>
    <row r="357">
      <c r="A357" s="35"/>
      <c r="B357" s="35"/>
      <c r="C357" s="35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</row>
    <row r="358">
      <c r="A358" s="35"/>
      <c r="B358" s="35"/>
      <c r="C358" s="35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</row>
    <row r="359">
      <c r="A359" s="35"/>
      <c r="B359" s="35"/>
      <c r="C359" s="35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</row>
    <row r="360">
      <c r="A360" s="35"/>
      <c r="B360" s="35"/>
      <c r="C360" s="35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</row>
    <row r="361">
      <c r="A361" s="35"/>
      <c r="B361" s="35"/>
      <c r="C361" s="35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</row>
    <row r="362">
      <c r="A362" s="35"/>
      <c r="B362" s="35"/>
      <c r="C362" s="35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</row>
    <row r="363">
      <c r="A363" s="35"/>
      <c r="B363" s="35"/>
      <c r="C363" s="35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</row>
    <row r="364">
      <c r="A364" s="35"/>
      <c r="B364" s="35"/>
      <c r="C364" s="35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</row>
    <row r="365">
      <c r="A365" s="35"/>
      <c r="B365" s="35"/>
      <c r="C365" s="35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</row>
    <row r="366">
      <c r="A366" s="35"/>
      <c r="B366" s="35"/>
      <c r="C366" s="35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</row>
    <row r="367">
      <c r="A367" s="35"/>
      <c r="B367" s="35"/>
      <c r="C367" s="35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</row>
    <row r="368">
      <c r="A368" s="35"/>
      <c r="B368" s="35"/>
      <c r="C368" s="35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</row>
    <row r="369">
      <c r="A369" s="35"/>
      <c r="B369" s="35"/>
      <c r="C369" s="35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</row>
    <row r="370">
      <c r="A370" s="35"/>
      <c r="B370" s="35"/>
      <c r="C370" s="35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</row>
    <row r="371">
      <c r="A371" s="35"/>
      <c r="B371" s="35"/>
      <c r="C371" s="35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</row>
    <row r="372">
      <c r="A372" s="35"/>
      <c r="B372" s="35"/>
      <c r="C372" s="35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</row>
    <row r="373">
      <c r="A373" s="35"/>
      <c r="B373" s="35"/>
      <c r="C373" s="35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</row>
    <row r="374">
      <c r="A374" s="35"/>
      <c r="B374" s="35"/>
      <c r="C374" s="35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</row>
    <row r="375">
      <c r="A375" s="35"/>
      <c r="B375" s="35"/>
      <c r="C375" s="35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</row>
    <row r="376">
      <c r="A376" s="35"/>
      <c r="B376" s="35"/>
      <c r="C376" s="35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</row>
    <row r="377">
      <c r="A377" s="35"/>
      <c r="B377" s="35"/>
      <c r="C377" s="35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</row>
    <row r="378">
      <c r="A378" s="35"/>
      <c r="B378" s="35"/>
      <c r="C378" s="35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</row>
    <row r="379">
      <c r="A379" s="35"/>
      <c r="B379" s="35"/>
      <c r="C379" s="35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</row>
    <row r="380">
      <c r="A380" s="35"/>
      <c r="B380" s="35"/>
      <c r="C380" s="35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</row>
    <row r="381">
      <c r="A381" s="35"/>
      <c r="B381" s="35"/>
      <c r="C381" s="35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</row>
    <row r="382">
      <c r="A382" s="35"/>
      <c r="B382" s="35"/>
      <c r="C382" s="35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</row>
    <row r="383">
      <c r="A383" s="35"/>
      <c r="B383" s="35"/>
      <c r="C383" s="35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</row>
    <row r="384">
      <c r="A384" s="35"/>
      <c r="B384" s="35"/>
      <c r="C384" s="35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</row>
    <row r="385">
      <c r="A385" s="35"/>
      <c r="B385" s="35"/>
      <c r="C385" s="35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</row>
    <row r="386">
      <c r="A386" s="35"/>
      <c r="B386" s="35"/>
      <c r="C386" s="35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</row>
    <row r="387">
      <c r="A387" s="35"/>
      <c r="B387" s="35"/>
      <c r="C387" s="35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</row>
    <row r="388">
      <c r="A388" s="35"/>
      <c r="B388" s="35"/>
      <c r="C388" s="35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</row>
    <row r="389">
      <c r="A389" s="35"/>
      <c r="B389" s="35"/>
      <c r="C389" s="35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</row>
    <row r="390">
      <c r="A390" s="35"/>
      <c r="B390" s="35"/>
      <c r="C390" s="35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</row>
    <row r="391">
      <c r="A391" s="35"/>
      <c r="B391" s="35"/>
      <c r="C391" s="35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</row>
    <row r="392">
      <c r="A392" s="35"/>
      <c r="B392" s="35"/>
      <c r="C392" s="35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</row>
    <row r="393">
      <c r="A393" s="35"/>
      <c r="B393" s="35"/>
      <c r="C393" s="35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</row>
    <row r="394">
      <c r="A394" s="35"/>
      <c r="B394" s="35"/>
      <c r="C394" s="35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</row>
    <row r="395">
      <c r="A395" s="35"/>
      <c r="B395" s="35"/>
      <c r="C395" s="35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</row>
    <row r="396">
      <c r="A396" s="35"/>
      <c r="B396" s="35"/>
      <c r="C396" s="35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</row>
    <row r="397">
      <c r="A397" s="35"/>
      <c r="B397" s="35"/>
      <c r="C397" s="35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</row>
    <row r="398">
      <c r="A398" s="35"/>
      <c r="B398" s="35"/>
      <c r="C398" s="35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</row>
    <row r="399">
      <c r="A399" s="35"/>
      <c r="B399" s="35"/>
      <c r="C399" s="35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</row>
    <row r="400">
      <c r="A400" s="35"/>
      <c r="B400" s="35"/>
      <c r="C400" s="35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</row>
    <row r="401">
      <c r="A401" s="35"/>
      <c r="B401" s="35"/>
      <c r="C401" s="35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</row>
    <row r="402">
      <c r="A402" s="35"/>
      <c r="B402" s="35"/>
      <c r="C402" s="35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</row>
    <row r="403">
      <c r="A403" s="35"/>
      <c r="B403" s="35"/>
      <c r="C403" s="35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</row>
    <row r="404">
      <c r="A404" s="35"/>
      <c r="B404" s="35"/>
      <c r="C404" s="35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</row>
    <row r="405">
      <c r="A405" s="35"/>
      <c r="B405" s="35"/>
      <c r="C405" s="35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</row>
    <row r="406">
      <c r="A406" s="35"/>
      <c r="B406" s="35"/>
      <c r="C406" s="35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</row>
    <row r="407">
      <c r="A407" s="35"/>
      <c r="B407" s="35"/>
      <c r="C407" s="35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</row>
    <row r="408">
      <c r="A408" s="35"/>
      <c r="B408" s="35"/>
      <c r="C408" s="35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</row>
    <row r="409">
      <c r="A409" s="35"/>
      <c r="B409" s="35"/>
      <c r="C409" s="35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</row>
    <row r="410">
      <c r="A410" s="35"/>
      <c r="B410" s="35"/>
      <c r="C410" s="35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</row>
    <row r="411">
      <c r="A411" s="35"/>
      <c r="B411" s="35"/>
      <c r="C411" s="35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</row>
    <row r="412">
      <c r="A412" s="35"/>
      <c r="B412" s="35"/>
      <c r="C412" s="35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</row>
    <row r="413">
      <c r="A413" s="35"/>
      <c r="B413" s="35"/>
      <c r="C413" s="35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</row>
    <row r="414">
      <c r="A414" s="35"/>
      <c r="B414" s="35"/>
      <c r="C414" s="35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</row>
    <row r="415">
      <c r="A415" s="35"/>
      <c r="B415" s="35"/>
      <c r="C415" s="35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</row>
    <row r="416">
      <c r="A416" s="35"/>
      <c r="B416" s="35"/>
      <c r="C416" s="35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</row>
    <row r="417">
      <c r="A417" s="35"/>
      <c r="B417" s="35"/>
      <c r="C417" s="35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</row>
    <row r="418">
      <c r="A418" s="35"/>
      <c r="B418" s="35"/>
      <c r="C418" s="35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</row>
    <row r="419">
      <c r="A419" s="35"/>
      <c r="B419" s="35"/>
      <c r="C419" s="35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</row>
    <row r="420">
      <c r="A420" s="35"/>
      <c r="B420" s="35"/>
      <c r="C420" s="35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</row>
    <row r="421">
      <c r="A421" s="35"/>
      <c r="B421" s="35"/>
      <c r="C421" s="35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</row>
    <row r="422">
      <c r="A422" s="35"/>
      <c r="B422" s="35"/>
      <c r="C422" s="35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</row>
    <row r="423">
      <c r="A423" s="35"/>
      <c r="B423" s="35"/>
      <c r="C423" s="35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</row>
    <row r="424">
      <c r="A424" s="35"/>
      <c r="B424" s="35"/>
      <c r="C424" s="35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</row>
    <row r="425">
      <c r="A425" s="35"/>
      <c r="B425" s="35"/>
      <c r="C425" s="35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</row>
    <row r="426">
      <c r="A426" s="35"/>
      <c r="B426" s="35"/>
      <c r="C426" s="35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</row>
    <row r="427">
      <c r="A427" s="35"/>
      <c r="B427" s="35"/>
      <c r="C427" s="35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</row>
    <row r="428">
      <c r="A428" s="35"/>
      <c r="B428" s="35"/>
      <c r="C428" s="35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</row>
    <row r="429">
      <c r="A429" s="35"/>
      <c r="B429" s="35"/>
      <c r="C429" s="35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</row>
    <row r="430">
      <c r="A430" s="35"/>
      <c r="B430" s="35"/>
      <c r="C430" s="35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</row>
    <row r="431">
      <c r="A431" s="35"/>
      <c r="B431" s="35"/>
      <c r="C431" s="35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</row>
    <row r="432">
      <c r="A432" s="35"/>
      <c r="B432" s="35"/>
      <c r="C432" s="35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</row>
    <row r="433">
      <c r="A433" s="35"/>
      <c r="B433" s="35"/>
      <c r="C433" s="35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</row>
    <row r="434">
      <c r="A434" s="35"/>
      <c r="B434" s="35"/>
      <c r="C434" s="35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</row>
    <row r="435">
      <c r="A435" s="35"/>
      <c r="B435" s="35"/>
      <c r="C435" s="35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</row>
    <row r="436">
      <c r="A436" s="35"/>
      <c r="B436" s="35"/>
      <c r="C436" s="35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</row>
    <row r="437">
      <c r="A437" s="35"/>
      <c r="B437" s="35"/>
      <c r="C437" s="35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</row>
    <row r="438">
      <c r="A438" s="35"/>
      <c r="B438" s="35"/>
      <c r="C438" s="35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</row>
    <row r="439">
      <c r="A439" s="35"/>
      <c r="B439" s="35"/>
      <c r="C439" s="35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</row>
    <row r="440">
      <c r="A440" s="35"/>
      <c r="B440" s="35"/>
      <c r="C440" s="35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</row>
    <row r="441">
      <c r="A441" s="35"/>
      <c r="B441" s="35"/>
      <c r="C441" s="35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</row>
    <row r="442">
      <c r="A442" s="35"/>
      <c r="B442" s="35"/>
      <c r="C442" s="35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</row>
    <row r="443">
      <c r="A443" s="35"/>
      <c r="B443" s="35"/>
      <c r="C443" s="35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</row>
    <row r="444">
      <c r="A444" s="35"/>
      <c r="B444" s="35"/>
      <c r="C444" s="35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</row>
    <row r="445">
      <c r="A445" s="35"/>
      <c r="B445" s="35"/>
      <c r="C445" s="35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</row>
    <row r="446">
      <c r="A446" s="35"/>
      <c r="B446" s="35"/>
      <c r="C446" s="35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</row>
    <row r="447">
      <c r="A447" s="35"/>
      <c r="B447" s="35"/>
      <c r="C447" s="35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</row>
    <row r="448">
      <c r="A448" s="35"/>
      <c r="B448" s="35"/>
      <c r="C448" s="35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</row>
    <row r="449">
      <c r="A449" s="35"/>
      <c r="B449" s="35"/>
      <c r="C449" s="35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</row>
    <row r="450">
      <c r="A450" s="35"/>
      <c r="B450" s="35"/>
      <c r="C450" s="35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</row>
    <row r="451">
      <c r="A451" s="35"/>
      <c r="B451" s="35"/>
      <c r="C451" s="35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</row>
    <row r="452">
      <c r="A452" s="35"/>
      <c r="B452" s="35"/>
      <c r="C452" s="35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</row>
    <row r="453">
      <c r="A453" s="35"/>
      <c r="B453" s="35"/>
      <c r="C453" s="35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</row>
    <row r="454">
      <c r="A454" s="35"/>
      <c r="B454" s="35"/>
      <c r="C454" s="35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</row>
    <row r="455">
      <c r="A455" s="35"/>
      <c r="B455" s="35"/>
      <c r="C455" s="35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</row>
    <row r="456">
      <c r="A456" s="35"/>
      <c r="B456" s="35"/>
      <c r="C456" s="35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</row>
    <row r="457">
      <c r="A457" s="35"/>
      <c r="B457" s="35"/>
      <c r="C457" s="35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</row>
    <row r="458">
      <c r="A458" s="35"/>
      <c r="B458" s="35"/>
      <c r="C458" s="35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</row>
    <row r="459">
      <c r="A459" s="35"/>
      <c r="B459" s="35"/>
      <c r="C459" s="35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</row>
    <row r="460">
      <c r="A460" s="35"/>
      <c r="B460" s="35"/>
      <c r="C460" s="35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</row>
    <row r="461">
      <c r="A461" s="35"/>
      <c r="B461" s="35"/>
      <c r="C461" s="35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</row>
    <row r="462">
      <c r="A462" s="35"/>
      <c r="B462" s="35"/>
      <c r="C462" s="35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</row>
    <row r="463">
      <c r="A463" s="35"/>
      <c r="B463" s="35"/>
      <c r="C463" s="35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</row>
    <row r="464">
      <c r="A464" s="35"/>
      <c r="B464" s="35"/>
      <c r="C464" s="35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</row>
    <row r="465">
      <c r="A465" s="35"/>
      <c r="B465" s="35"/>
      <c r="C465" s="35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</row>
    <row r="466">
      <c r="A466" s="35"/>
      <c r="B466" s="35"/>
      <c r="C466" s="35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</row>
    <row r="467">
      <c r="A467" s="35"/>
      <c r="B467" s="35"/>
      <c r="C467" s="35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</row>
    <row r="468">
      <c r="A468" s="35"/>
      <c r="B468" s="35"/>
      <c r="C468" s="35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</row>
    <row r="469">
      <c r="A469" s="35"/>
      <c r="B469" s="35"/>
      <c r="C469" s="35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</row>
    <row r="470">
      <c r="A470" s="35"/>
      <c r="B470" s="35"/>
      <c r="C470" s="35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</row>
    <row r="471">
      <c r="A471" s="35"/>
      <c r="B471" s="35"/>
      <c r="C471" s="35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</row>
    <row r="472">
      <c r="A472" s="35"/>
      <c r="B472" s="35"/>
      <c r="C472" s="35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</row>
    <row r="473">
      <c r="A473" s="35"/>
      <c r="B473" s="35"/>
      <c r="C473" s="35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</row>
    <row r="474">
      <c r="A474" s="35"/>
      <c r="B474" s="35"/>
      <c r="C474" s="35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</row>
    <row r="475">
      <c r="A475" s="35"/>
      <c r="B475" s="35"/>
      <c r="C475" s="35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</row>
    <row r="476">
      <c r="A476" s="35"/>
      <c r="B476" s="35"/>
      <c r="C476" s="35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</row>
    <row r="477">
      <c r="A477" s="35"/>
      <c r="B477" s="35"/>
      <c r="C477" s="35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</row>
    <row r="478">
      <c r="A478" s="35"/>
      <c r="B478" s="35"/>
      <c r="C478" s="35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</row>
    <row r="479">
      <c r="A479" s="35"/>
      <c r="B479" s="35"/>
      <c r="C479" s="35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</row>
    <row r="480">
      <c r="A480" s="35"/>
      <c r="B480" s="35"/>
      <c r="C480" s="35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</row>
    <row r="481">
      <c r="A481" s="35"/>
      <c r="B481" s="35"/>
      <c r="C481" s="35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</row>
    <row r="482">
      <c r="A482" s="35"/>
      <c r="B482" s="35"/>
      <c r="C482" s="35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</row>
    <row r="483">
      <c r="A483" s="35"/>
      <c r="B483" s="35"/>
      <c r="C483" s="35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</row>
    <row r="484">
      <c r="A484" s="35"/>
      <c r="B484" s="35"/>
      <c r="C484" s="35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</row>
    <row r="485">
      <c r="A485" s="35"/>
      <c r="B485" s="35"/>
      <c r="C485" s="35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</row>
    <row r="486">
      <c r="A486" s="35"/>
      <c r="B486" s="35"/>
      <c r="C486" s="35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</row>
    <row r="487">
      <c r="A487" s="35"/>
      <c r="B487" s="35"/>
      <c r="C487" s="35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</row>
    <row r="488">
      <c r="A488" s="35"/>
      <c r="B488" s="35"/>
      <c r="C488" s="35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</row>
    <row r="489">
      <c r="A489" s="35"/>
      <c r="B489" s="35"/>
      <c r="C489" s="35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</row>
    <row r="490">
      <c r="A490" s="35"/>
      <c r="B490" s="35"/>
      <c r="C490" s="35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</row>
    <row r="491">
      <c r="A491" s="35"/>
      <c r="B491" s="35"/>
      <c r="C491" s="35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</row>
    <row r="492">
      <c r="A492" s="35"/>
      <c r="B492" s="35"/>
      <c r="C492" s="35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</row>
    <row r="493">
      <c r="A493" s="35"/>
      <c r="B493" s="35"/>
      <c r="C493" s="35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</row>
    <row r="494">
      <c r="A494" s="35"/>
      <c r="B494" s="35"/>
      <c r="C494" s="35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</row>
    <row r="495">
      <c r="A495" s="35"/>
      <c r="B495" s="35"/>
      <c r="C495" s="35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</row>
    <row r="496">
      <c r="A496" s="35"/>
      <c r="B496" s="35"/>
      <c r="C496" s="35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</row>
    <row r="497">
      <c r="A497" s="35"/>
      <c r="B497" s="35"/>
      <c r="C497" s="35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</row>
    <row r="498">
      <c r="A498" s="35"/>
      <c r="B498" s="35"/>
      <c r="C498" s="35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</row>
    <row r="499">
      <c r="A499" s="35"/>
      <c r="B499" s="35"/>
      <c r="C499" s="35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</row>
    <row r="500">
      <c r="A500" s="35"/>
      <c r="B500" s="35"/>
      <c r="C500" s="35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</row>
    <row r="501">
      <c r="A501" s="35"/>
      <c r="B501" s="35"/>
      <c r="C501" s="35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</row>
    <row r="502">
      <c r="A502" s="35"/>
      <c r="B502" s="35"/>
      <c r="C502" s="35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</row>
    <row r="503">
      <c r="A503" s="35"/>
      <c r="B503" s="35"/>
      <c r="C503" s="35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</row>
    <row r="504">
      <c r="A504" s="35"/>
      <c r="B504" s="35"/>
      <c r="C504" s="35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</row>
    <row r="505">
      <c r="A505" s="35"/>
      <c r="B505" s="35"/>
      <c r="C505" s="35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</row>
    <row r="506">
      <c r="A506" s="35"/>
      <c r="B506" s="35"/>
      <c r="C506" s="35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</row>
    <row r="507">
      <c r="A507" s="35"/>
      <c r="B507" s="35"/>
      <c r="C507" s="35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</row>
    <row r="508">
      <c r="A508" s="35"/>
      <c r="B508" s="35"/>
      <c r="C508" s="35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</row>
    <row r="509">
      <c r="A509" s="35"/>
      <c r="B509" s="35"/>
      <c r="C509" s="35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</row>
    <row r="510">
      <c r="A510" s="35"/>
      <c r="B510" s="35"/>
      <c r="C510" s="35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</row>
    <row r="511">
      <c r="A511" s="35"/>
      <c r="B511" s="35"/>
      <c r="C511" s="35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</row>
    <row r="512">
      <c r="A512" s="35"/>
      <c r="B512" s="35"/>
      <c r="C512" s="35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</row>
    <row r="513">
      <c r="A513" s="35"/>
      <c r="B513" s="35"/>
      <c r="C513" s="35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</row>
    <row r="514">
      <c r="A514" s="35"/>
      <c r="B514" s="35"/>
      <c r="C514" s="35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</row>
    <row r="515">
      <c r="A515" s="35"/>
      <c r="B515" s="35"/>
      <c r="C515" s="35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</row>
    <row r="516">
      <c r="A516" s="35"/>
      <c r="B516" s="35"/>
      <c r="C516" s="35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</row>
    <row r="517">
      <c r="A517" s="35"/>
      <c r="B517" s="35"/>
      <c r="C517" s="35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</row>
    <row r="518">
      <c r="A518" s="35"/>
      <c r="B518" s="35"/>
      <c r="C518" s="35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</row>
    <row r="519">
      <c r="A519" s="35"/>
      <c r="B519" s="35"/>
      <c r="C519" s="35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</row>
    <row r="520">
      <c r="A520" s="35"/>
      <c r="B520" s="35"/>
      <c r="C520" s="35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</row>
    <row r="521">
      <c r="A521" s="35"/>
      <c r="B521" s="35"/>
      <c r="C521" s="35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</row>
    <row r="522">
      <c r="A522" s="35"/>
      <c r="B522" s="35"/>
      <c r="C522" s="35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</row>
    <row r="523">
      <c r="A523" s="35"/>
      <c r="B523" s="35"/>
      <c r="C523" s="35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</row>
    <row r="524">
      <c r="A524" s="35"/>
      <c r="B524" s="35"/>
      <c r="C524" s="35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</row>
    <row r="525">
      <c r="A525" s="35"/>
      <c r="B525" s="35"/>
      <c r="C525" s="35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</row>
    <row r="526">
      <c r="A526" s="35"/>
      <c r="B526" s="35"/>
      <c r="C526" s="35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</row>
    <row r="527">
      <c r="A527" s="35"/>
      <c r="B527" s="35"/>
      <c r="C527" s="35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</row>
    <row r="528">
      <c r="A528" s="35"/>
      <c r="B528" s="35"/>
      <c r="C528" s="35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</row>
    <row r="529">
      <c r="A529" s="35"/>
      <c r="B529" s="35"/>
      <c r="C529" s="35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</row>
    <row r="530">
      <c r="A530" s="35"/>
      <c r="B530" s="35"/>
      <c r="C530" s="35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</row>
    <row r="531">
      <c r="A531" s="35"/>
      <c r="B531" s="35"/>
      <c r="C531" s="35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</row>
    <row r="532">
      <c r="A532" s="35"/>
      <c r="B532" s="35"/>
      <c r="C532" s="35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</row>
    <row r="533">
      <c r="A533" s="35"/>
      <c r="B533" s="35"/>
      <c r="C533" s="35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</row>
    <row r="534">
      <c r="A534" s="35"/>
      <c r="B534" s="35"/>
      <c r="C534" s="35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</row>
    <row r="535">
      <c r="A535" s="35"/>
      <c r="B535" s="35"/>
      <c r="C535" s="35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</row>
    <row r="536">
      <c r="A536" s="35"/>
      <c r="B536" s="35"/>
      <c r="C536" s="35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</row>
    <row r="537">
      <c r="A537" s="35"/>
      <c r="B537" s="35"/>
      <c r="C537" s="35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</row>
    <row r="538">
      <c r="A538" s="35"/>
      <c r="B538" s="35"/>
      <c r="C538" s="35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</row>
    <row r="539">
      <c r="A539" s="35"/>
      <c r="B539" s="35"/>
      <c r="C539" s="35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</row>
    <row r="540">
      <c r="A540" s="35"/>
      <c r="B540" s="35"/>
      <c r="C540" s="35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</row>
    <row r="541">
      <c r="A541" s="35"/>
      <c r="B541" s="35"/>
      <c r="C541" s="35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</row>
    <row r="542">
      <c r="A542" s="35"/>
      <c r="B542" s="35"/>
      <c r="C542" s="35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</row>
    <row r="543">
      <c r="A543" s="35"/>
      <c r="B543" s="35"/>
      <c r="C543" s="35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</row>
    <row r="544">
      <c r="A544" s="35"/>
      <c r="B544" s="35"/>
      <c r="C544" s="35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</row>
    <row r="545">
      <c r="A545" s="35"/>
      <c r="B545" s="35"/>
      <c r="C545" s="35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</row>
    <row r="546">
      <c r="A546" s="35"/>
      <c r="B546" s="35"/>
      <c r="C546" s="35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</row>
    <row r="547">
      <c r="A547" s="35"/>
      <c r="B547" s="35"/>
      <c r="C547" s="35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</row>
    <row r="548">
      <c r="A548" s="35"/>
      <c r="B548" s="35"/>
      <c r="C548" s="35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</row>
    <row r="549">
      <c r="A549" s="35"/>
      <c r="B549" s="35"/>
      <c r="C549" s="35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</row>
    <row r="550">
      <c r="A550" s="35"/>
      <c r="B550" s="35"/>
      <c r="C550" s="35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</row>
    <row r="551">
      <c r="A551" s="35"/>
      <c r="B551" s="35"/>
      <c r="C551" s="35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</row>
    <row r="552">
      <c r="A552" s="35"/>
      <c r="B552" s="35"/>
      <c r="C552" s="35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</row>
    <row r="553">
      <c r="A553" s="35"/>
      <c r="B553" s="35"/>
      <c r="C553" s="35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</row>
    <row r="554">
      <c r="A554" s="35"/>
      <c r="B554" s="35"/>
      <c r="C554" s="35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</row>
    <row r="555">
      <c r="A555" s="35"/>
      <c r="B555" s="35"/>
      <c r="C555" s="35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</row>
    <row r="556">
      <c r="A556" s="35"/>
      <c r="B556" s="35"/>
      <c r="C556" s="35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</row>
    <row r="557">
      <c r="A557" s="35"/>
      <c r="B557" s="35"/>
      <c r="C557" s="35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</row>
    <row r="558">
      <c r="A558" s="35"/>
      <c r="B558" s="35"/>
      <c r="C558" s="35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</row>
    <row r="559">
      <c r="A559" s="35"/>
      <c r="B559" s="35"/>
      <c r="C559" s="35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</row>
    <row r="560">
      <c r="A560" s="35"/>
      <c r="B560" s="35"/>
      <c r="C560" s="35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</row>
    <row r="561">
      <c r="A561" s="35"/>
      <c r="B561" s="35"/>
      <c r="C561" s="35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</row>
    <row r="562">
      <c r="A562" s="35"/>
      <c r="B562" s="35"/>
      <c r="C562" s="35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</row>
    <row r="563">
      <c r="A563" s="35"/>
      <c r="B563" s="35"/>
      <c r="C563" s="35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</row>
    <row r="564">
      <c r="A564" s="35"/>
      <c r="B564" s="35"/>
      <c r="C564" s="35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</row>
    <row r="565">
      <c r="A565" s="35"/>
      <c r="B565" s="35"/>
      <c r="C565" s="35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</row>
    <row r="566">
      <c r="A566" s="35"/>
      <c r="B566" s="35"/>
      <c r="C566" s="35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</row>
    <row r="567">
      <c r="A567" s="35"/>
      <c r="B567" s="35"/>
      <c r="C567" s="35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</row>
    <row r="568">
      <c r="A568" s="35"/>
      <c r="B568" s="35"/>
      <c r="C568" s="35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</row>
    <row r="569">
      <c r="A569" s="35"/>
      <c r="B569" s="35"/>
      <c r="C569" s="35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</row>
    <row r="570">
      <c r="A570" s="35"/>
      <c r="B570" s="35"/>
      <c r="C570" s="35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</row>
    <row r="571">
      <c r="A571" s="35"/>
      <c r="B571" s="35"/>
      <c r="C571" s="35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</row>
    <row r="572">
      <c r="A572" s="35"/>
      <c r="B572" s="35"/>
      <c r="C572" s="35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</row>
    <row r="573">
      <c r="A573" s="35"/>
      <c r="B573" s="35"/>
      <c r="C573" s="35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</row>
    <row r="574">
      <c r="A574" s="35"/>
      <c r="B574" s="35"/>
      <c r="C574" s="35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</row>
    <row r="575">
      <c r="A575" s="35"/>
      <c r="B575" s="35"/>
      <c r="C575" s="35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</row>
    <row r="576">
      <c r="A576" s="35"/>
      <c r="B576" s="35"/>
      <c r="C576" s="35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</row>
    <row r="577">
      <c r="A577" s="35"/>
      <c r="B577" s="35"/>
      <c r="C577" s="35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</row>
    <row r="578">
      <c r="A578" s="35"/>
      <c r="B578" s="35"/>
      <c r="C578" s="35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</row>
    <row r="579">
      <c r="A579" s="35"/>
      <c r="B579" s="35"/>
      <c r="C579" s="35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</row>
    <row r="580">
      <c r="A580" s="35"/>
      <c r="B580" s="35"/>
      <c r="C580" s="35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</row>
    <row r="581">
      <c r="A581" s="35"/>
      <c r="B581" s="35"/>
      <c r="C581" s="35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</row>
    <row r="582">
      <c r="A582" s="35"/>
      <c r="B582" s="35"/>
      <c r="C582" s="35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</row>
    <row r="583">
      <c r="A583" s="35"/>
      <c r="B583" s="35"/>
      <c r="C583" s="35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</row>
    <row r="584">
      <c r="A584" s="35"/>
      <c r="B584" s="35"/>
      <c r="C584" s="35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</row>
    <row r="585">
      <c r="A585" s="35"/>
      <c r="B585" s="35"/>
      <c r="C585" s="35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</row>
    <row r="586">
      <c r="A586" s="35"/>
      <c r="B586" s="35"/>
      <c r="C586" s="35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</row>
    <row r="587">
      <c r="A587" s="35"/>
      <c r="B587" s="35"/>
      <c r="C587" s="35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</row>
    <row r="588">
      <c r="A588" s="35"/>
      <c r="B588" s="35"/>
      <c r="C588" s="35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</row>
    <row r="589">
      <c r="A589" s="35"/>
      <c r="B589" s="35"/>
      <c r="C589" s="35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</row>
    <row r="590">
      <c r="A590" s="35"/>
      <c r="B590" s="35"/>
      <c r="C590" s="35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</row>
    <row r="591">
      <c r="A591" s="35"/>
      <c r="B591" s="35"/>
      <c r="C591" s="35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</row>
    <row r="592">
      <c r="A592" s="35"/>
      <c r="B592" s="35"/>
      <c r="C592" s="35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</row>
    <row r="593">
      <c r="A593" s="35"/>
      <c r="B593" s="35"/>
      <c r="C593" s="35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</row>
    <row r="594">
      <c r="A594" s="35"/>
      <c r="B594" s="35"/>
      <c r="C594" s="35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</row>
    <row r="595">
      <c r="A595" s="35"/>
      <c r="B595" s="35"/>
      <c r="C595" s="35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</row>
    <row r="596">
      <c r="A596" s="35"/>
      <c r="B596" s="35"/>
      <c r="C596" s="35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</row>
    <row r="597">
      <c r="A597" s="35"/>
      <c r="B597" s="35"/>
      <c r="C597" s="35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</row>
    <row r="598">
      <c r="A598" s="35"/>
      <c r="B598" s="35"/>
      <c r="C598" s="35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</row>
    <row r="599">
      <c r="A599" s="35"/>
      <c r="B599" s="35"/>
      <c r="C599" s="35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</row>
    <row r="600">
      <c r="A600" s="35"/>
      <c r="B600" s="35"/>
      <c r="C600" s="35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</row>
    <row r="601">
      <c r="A601" s="35"/>
      <c r="B601" s="35"/>
      <c r="C601" s="35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</row>
    <row r="602">
      <c r="A602" s="35"/>
      <c r="B602" s="35"/>
      <c r="C602" s="35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</row>
    <row r="603">
      <c r="A603" s="35"/>
      <c r="B603" s="35"/>
      <c r="C603" s="35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</row>
    <row r="604">
      <c r="A604" s="35"/>
      <c r="B604" s="35"/>
      <c r="C604" s="35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</row>
    <row r="605">
      <c r="A605" s="35"/>
      <c r="B605" s="35"/>
      <c r="C605" s="35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</row>
    <row r="606">
      <c r="A606" s="35"/>
      <c r="B606" s="35"/>
      <c r="C606" s="35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</row>
    <row r="607">
      <c r="A607" s="35"/>
      <c r="B607" s="35"/>
      <c r="C607" s="35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</row>
    <row r="608">
      <c r="A608" s="35"/>
      <c r="B608" s="35"/>
      <c r="C608" s="35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</row>
    <row r="609">
      <c r="A609" s="35"/>
      <c r="B609" s="35"/>
      <c r="C609" s="35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</row>
    <row r="610">
      <c r="A610" s="35"/>
      <c r="B610" s="35"/>
      <c r="C610" s="35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</row>
    <row r="611">
      <c r="A611" s="35"/>
      <c r="B611" s="35"/>
      <c r="C611" s="35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</row>
    <row r="612">
      <c r="A612" s="35"/>
      <c r="B612" s="35"/>
      <c r="C612" s="35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</row>
    <row r="613">
      <c r="A613" s="35"/>
      <c r="B613" s="35"/>
      <c r="C613" s="35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</row>
    <row r="614">
      <c r="A614" s="35"/>
      <c r="B614" s="35"/>
      <c r="C614" s="35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</row>
    <row r="615">
      <c r="A615" s="35"/>
      <c r="B615" s="35"/>
      <c r="C615" s="35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</row>
    <row r="616">
      <c r="A616" s="35"/>
      <c r="B616" s="35"/>
      <c r="C616" s="35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</row>
    <row r="617">
      <c r="A617" s="35"/>
      <c r="B617" s="35"/>
      <c r="C617" s="35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</row>
    <row r="618">
      <c r="A618" s="35"/>
      <c r="B618" s="35"/>
      <c r="C618" s="35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</row>
    <row r="619">
      <c r="A619" s="35"/>
      <c r="B619" s="35"/>
      <c r="C619" s="35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</row>
    <row r="620">
      <c r="A620" s="35"/>
      <c r="B620" s="35"/>
      <c r="C620" s="35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</row>
    <row r="621">
      <c r="A621" s="35"/>
      <c r="B621" s="35"/>
      <c r="C621" s="35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</row>
    <row r="622">
      <c r="A622" s="35"/>
      <c r="B622" s="35"/>
      <c r="C622" s="35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</row>
    <row r="623">
      <c r="A623" s="35"/>
      <c r="B623" s="35"/>
      <c r="C623" s="35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</row>
    <row r="624">
      <c r="A624" s="35"/>
      <c r="B624" s="35"/>
      <c r="C624" s="35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</row>
    <row r="625">
      <c r="A625" s="35"/>
      <c r="B625" s="35"/>
      <c r="C625" s="35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</row>
    <row r="626">
      <c r="A626" s="35"/>
      <c r="B626" s="35"/>
      <c r="C626" s="35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</row>
    <row r="627">
      <c r="A627" s="35"/>
      <c r="B627" s="35"/>
      <c r="C627" s="35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</row>
    <row r="628">
      <c r="A628" s="35"/>
      <c r="B628" s="35"/>
      <c r="C628" s="35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</row>
    <row r="629">
      <c r="A629" s="35"/>
      <c r="B629" s="35"/>
      <c r="C629" s="35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</row>
    <row r="630">
      <c r="A630" s="35"/>
      <c r="B630" s="35"/>
      <c r="C630" s="35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</row>
    <row r="631">
      <c r="A631" s="35"/>
      <c r="B631" s="35"/>
      <c r="C631" s="35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</row>
    <row r="632">
      <c r="A632" s="35"/>
      <c r="B632" s="35"/>
      <c r="C632" s="35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</row>
    <row r="633">
      <c r="A633" s="35"/>
      <c r="B633" s="35"/>
      <c r="C633" s="35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</row>
    <row r="634">
      <c r="A634" s="35"/>
      <c r="B634" s="35"/>
      <c r="C634" s="35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</row>
    <row r="635">
      <c r="A635" s="35"/>
      <c r="B635" s="35"/>
      <c r="C635" s="35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</row>
    <row r="636">
      <c r="A636" s="35"/>
      <c r="B636" s="35"/>
      <c r="C636" s="35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</row>
    <row r="637">
      <c r="A637" s="35"/>
      <c r="B637" s="35"/>
      <c r="C637" s="35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</row>
    <row r="638">
      <c r="A638" s="35"/>
      <c r="B638" s="35"/>
      <c r="C638" s="35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</row>
    <row r="639">
      <c r="A639" s="35"/>
      <c r="B639" s="35"/>
      <c r="C639" s="35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</row>
    <row r="640">
      <c r="A640" s="35"/>
      <c r="B640" s="35"/>
      <c r="C640" s="35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</row>
    <row r="641">
      <c r="A641" s="35"/>
      <c r="B641" s="35"/>
      <c r="C641" s="35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</row>
    <row r="642">
      <c r="A642" s="35"/>
      <c r="B642" s="35"/>
      <c r="C642" s="35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</row>
    <row r="643">
      <c r="A643" s="35"/>
      <c r="B643" s="35"/>
      <c r="C643" s="35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</row>
    <row r="644">
      <c r="A644" s="35"/>
      <c r="B644" s="35"/>
      <c r="C644" s="35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</row>
    <row r="645">
      <c r="A645" s="35"/>
      <c r="B645" s="35"/>
      <c r="C645" s="35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</row>
    <row r="646">
      <c r="A646" s="35"/>
      <c r="B646" s="35"/>
      <c r="C646" s="35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</row>
    <row r="647">
      <c r="A647" s="35"/>
      <c r="B647" s="35"/>
      <c r="C647" s="35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</row>
    <row r="648">
      <c r="A648" s="35"/>
      <c r="B648" s="35"/>
      <c r="C648" s="35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</row>
    <row r="649">
      <c r="A649" s="35"/>
      <c r="B649" s="35"/>
      <c r="C649" s="35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</row>
    <row r="650">
      <c r="A650" s="35"/>
      <c r="B650" s="35"/>
      <c r="C650" s="35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</row>
    <row r="651">
      <c r="A651" s="35"/>
      <c r="B651" s="35"/>
      <c r="C651" s="35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</row>
    <row r="652">
      <c r="A652" s="35"/>
      <c r="B652" s="35"/>
      <c r="C652" s="35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</row>
    <row r="653">
      <c r="A653" s="35"/>
      <c r="B653" s="35"/>
      <c r="C653" s="35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</row>
    <row r="654">
      <c r="A654" s="35"/>
      <c r="B654" s="35"/>
      <c r="C654" s="35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</row>
    <row r="655">
      <c r="A655" s="35"/>
      <c r="B655" s="35"/>
      <c r="C655" s="35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</row>
    <row r="656">
      <c r="A656" s="35"/>
      <c r="B656" s="35"/>
      <c r="C656" s="35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</row>
    <row r="657">
      <c r="A657" s="35"/>
      <c r="B657" s="35"/>
      <c r="C657" s="35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</row>
    <row r="658">
      <c r="A658" s="35"/>
      <c r="B658" s="35"/>
      <c r="C658" s="35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</row>
    <row r="659">
      <c r="A659" s="35"/>
      <c r="B659" s="35"/>
      <c r="C659" s="35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</row>
    <row r="660">
      <c r="A660" s="35"/>
      <c r="B660" s="35"/>
      <c r="C660" s="35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</row>
    <row r="661">
      <c r="A661" s="35"/>
      <c r="B661" s="35"/>
      <c r="C661" s="35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</row>
    <row r="662">
      <c r="A662" s="35"/>
      <c r="B662" s="35"/>
      <c r="C662" s="35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</row>
    <row r="663">
      <c r="A663" s="35"/>
      <c r="B663" s="35"/>
      <c r="C663" s="35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</row>
    <row r="664">
      <c r="A664" s="35"/>
      <c r="B664" s="35"/>
      <c r="C664" s="35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</row>
    <row r="665">
      <c r="A665" s="35"/>
      <c r="B665" s="35"/>
      <c r="C665" s="35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</row>
    <row r="666">
      <c r="A666" s="35"/>
      <c r="B666" s="35"/>
      <c r="C666" s="35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</row>
    <row r="667">
      <c r="A667" s="35"/>
      <c r="B667" s="35"/>
      <c r="C667" s="35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</row>
    <row r="668">
      <c r="A668" s="35"/>
      <c r="B668" s="35"/>
      <c r="C668" s="35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</row>
    <row r="669">
      <c r="A669" s="35"/>
      <c r="B669" s="35"/>
      <c r="C669" s="35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</row>
    <row r="670">
      <c r="A670" s="35"/>
      <c r="B670" s="35"/>
      <c r="C670" s="35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</row>
    <row r="671">
      <c r="A671" s="35"/>
      <c r="B671" s="35"/>
      <c r="C671" s="35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</row>
    <row r="672">
      <c r="A672" s="35"/>
      <c r="B672" s="35"/>
      <c r="C672" s="35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</row>
    <row r="673">
      <c r="A673" s="35"/>
      <c r="B673" s="35"/>
      <c r="C673" s="35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</row>
    <row r="674">
      <c r="A674" s="35"/>
      <c r="B674" s="35"/>
      <c r="C674" s="35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</row>
    <row r="675">
      <c r="A675" s="35"/>
      <c r="B675" s="35"/>
      <c r="C675" s="35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</row>
    <row r="676">
      <c r="A676" s="35"/>
      <c r="B676" s="35"/>
      <c r="C676" s="35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</row>
    <row r="677">
      <c r="A677" s="35"/>
      <c r="B677" s="35"/>
      <c r="C677" s="35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</row>
    <row r="678">
      <c r="A678" s="35"/>
      <c r="B678" s="35"/>
      <c r="C678" s="35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</row>
    <row r="679">
      <c r="A679" s="35"/>
      <c r="B679" s="35"/>
      <c r="C679" s="35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</row>
    <row r="680">
      <c r="A680" s="35"/>
      <c r="B680" s="35"/>
      <c r="C680" s="35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</row>
    <row r="681">
      <c r="A681" s="35"/>
      <c r="B681" s="35"/>
      <c r="C681" s="35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</row>
    <row r="682">
      <c r="A682" s="35"/>
      <c r="B682" s="35"/>
      <c r="C682" s="35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</row>
    <row r="683">
      <c r="A683" s="35"/>
      <c r="B683" s="35"/>
      <c r="C683" s="35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</row>
    <row r="684">
      <c r="A684" s="35"/>
      <c r="B684" s="35"/>
      <c r="C684" s="35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</row>
    <row r="685">
      <c r="A685" s="35"/>
      <c r="B685" s="35"/>
      <c r="C685" s="35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</row>
    <row r="686">
      <c r="A686" s="35"/>
      <c r="B686" s="35"/>
      <c r="C686" s="35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</row>
    <row r="687">
      <c r="A687" s="35"/>
      <c r="B687" s="35"/>
      <c r="C687" s="35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</row>
    <row r="688">
      <c r="A688" s="35"/>
      <c r="B688" s="35"/>
      <c r="C688" s="35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</row>
    <row r="689">
      <c r="A689" s="35"/>
      <c r="B689" s="35"/>
      <c r="C689" s="35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</row>
    <row r="690">
      <c r="A690" s="35"/>
      <c r="B690" s="35"/>
      <c r="C690" s="35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</row>
    <row r="691">
      <c r="A691" s="35"/>
      <c r="B691" s="35"/>
      <c r="C691" s="35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</row>
    <row r="692">
      <c r="A692" s="35"/>
      <c r="B692" s="35"/>
      <c r="C692" s="35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</row>
    <row r="693">
      <c r="A693" s="35"/>
      <c r="B693" s="35"/>
      <c r="C693" s="35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</row>
    <row r="694">
      <c r="A694" s="35"/>
      <c r="B694" s="35"/>
      <c r="C694" s="35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</row>
    <row r="695">
      <c r="A695" s="35"/>
      <c r="B695" s="35"/>
      <c r="C695" s="35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</row>
    <row r="696">
      <c r="A696" s="35"/>
      <c r="B696" s="35"/>
      <c r="C696" s="35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</row>
    <row r="697">
      <c r="A697" s="35"/>
      <c r="B697" s="35"/>
      <c r="C697" s="35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</row>
    <row r="698">
      <c r="A698" s="35"/>
      <c r="B698" s="35"/>
      <c r="C698" s="35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</row>
    <row r="699">
      <c r="A699" s="35"/>
      <c r="B699" s="35"/>
      <c r="C699" s="35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</row>
    <row r="700">
      <c r="A700" s="35"/>
      <c r="B700" s="35"/>
      <c r="C700" s="35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</row>
    <row r="701">
      <c r="A701" s="35"/>
      <c r="B701" s="35"/>
      <c r="C701" s="35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</row>
    <row r="702">
      <c r="A702" s="35"/>
      <c r="B702" s="35"/>
      <c r="C702" s="35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</row>
    <row r="703">
      <c r="A703" s="35"/>
      <c r="B703" s="35"/>
      <c r="C703" s="35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</row>
    <row r="704">
      <c r="A704" s="35"/>
      <c r="B704" s="35"/>
      <c r="C704" s="35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</row>
    <row r="705">
      <c r="A705" s="35"/>
      <c r="B705" s="35"/>
      <c r="C705" s="35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</row>
    <row r="706">
      <c r="A706" s="35"/>
      <c r="B706" s="35"/>
      <c r="C706" s="35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</row>
    <row r="707">
      <c r="A707" s="35"/>
      <c r="B707" s="35"/>
      <c r="C707" s="35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</row>
    <row r="708">
      <c r="A708" s="35"/>
      <c r="B708" s="35"/>
      <c r="C708" s="35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</row>
    <row r="709">
      <c r="A709" s="35"/>
      <c r="B709" s="35"/>
      <c r="C709" s="35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</row>
    <row r="710">
      <c r="A710" s="35"/>
      <c r="B710" s="35"/>
      <c r="C710" s="35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</row>
    <row r="711">
      <c r="A711" s="35"/>
      <c r="B711" s="35"/>
      <c r="C711" s="35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</row>
    <row r="712">
      <c r="A712" s="35"/>
      <c r="B712" s="35"/>
      <c r="C712" s="35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</row>
    <row r="713">
      <c r="A713" s="35"/>
      <c r="B713" s="35"/>
      <c r="C713" s="35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</row>
    <row r="714">
      <c r="A714" s="35"/>
      <c r="B714" s="35"/>
      <c r="C714" s="35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</row>
    <row r="715">
      <c r="A715" s="35"/>
      <c r="B715" s="35"/>
      <c r="C715" s="35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</row>
    <row r="716">
      <c r="A716" s="35"/>
      <c r="B716" s="35"/>
      <c r="C716" s="35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</row>
    <row r="717">
      <c r="A717" s="35"/>
      <c r="B717" s="35"/>
      <c r="C717" s="35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</row>
    <row r="718">
      <c r="A718" s="35"/>
      <c r="B718" s="35"/>
      <c r="C718" s="35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</row>
    <row r="719">
      <c r="A719" s="35"/>
      <c r="B719" s="35"/>
      <c r="C719" s="35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</row>
    <row r="720">
      <c r="A720" s="35"/>
      <c r="B720" s="35"/>
      <c r="C720" s="35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</row>
    <row r="721">
      <c r="A721" s="35"/>
      <c r="B721" s="35"/>
      <c r="C721" s="35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</row>
    <row r="722">
      <c r="A722" s="35"/>
      <c r="B722" s="35"/>
      <c r="C722" s="35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</row>
    <row r="723">
      <c r="A723" s="35"/>
      <c r="B723" s="35"/>
      <c r="C723" s="35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</row>
    <row r="724">
      <c r="A724" s="35"/>
      <c r="B724" s="35"/>
      <c r="C724" s="35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</row>
    <row r="725">
      <c r="A725" s="35"/>
      <c r="B725" s="35"/>
      <c r="C725" s="35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</row>
    <row r="726">
      <c r="A726" s="35"/>
      <c r="B726" s="35"/>
      <c r="C726" s="35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</row>
    <row r="727">
      <c r="A727" s="35"/>
      <c r="B727" s="35"/>
      <c r="C727" s="35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</row>
    <row r="728">
      <c r="A728" s="35"/>
      <c r="B728" s="35"/>
      <c r="C728" s="35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</row>
    <row r="729">
      <c r="A729" s="35"/>
      <c r="B729" s="35"/>
      <c r="C729" s="35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</row>
    <row r="730">
      <c r="A730" s="35"/>
      <c r="B730" s="35"/>
      <c r="C730" s="35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</row>
    <row r="731">
      <c r="A731" s="35"/>
      <c r="B731" s="35"/>
      <c r="C731" s="35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</row>
    <row r="732">
      <c r="A732" s="35"/>
      <c r="B732" s="35"/>
      <c r="C732" s="35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</row>
    <row r="733">
      <c r="A733" s="35"/>
      <c r="B733" s="35"/>
      <c r="C733" s="35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</row>
    <row r="734">
      <c r="A734" s="35"/>
      <c r="B734" s="35"/>
      <c r="C734" s="35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</row>
    <row r="735">
      <c r="A735" s="35"/>
      <c r="B735" s="35"/>
      <c r="C735" s="35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</row>
    <row r="736">
      <c r="A736" s="35"/>
      <c r="B736" s="35"/>
      <c r="C736" s="35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</row>
    <row r="737">
      <c r="A737" s="35"/>
      <c r="B737" s="35"/>
      <c r="C737" s="35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</row>
    <row r="738">
      <c r="A738" s="35"/>
      <c r="B738" s="35"/>
      <c r="C738" s="35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</row>
    <row r="739">
      <c r="A739" s="35"/>
      <c r="B739" s="35"/>
      <c r="C739" s="35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</row>
    <row r="740">
      <c r="A740" s="35"/>
      <c r="B740" s="35"/>
      <c r="C740" s="35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</row>
    <row r="741">
      <c r="A741" s="35"/>
      <c r="B741" s="35"/>
      <c r="C741" s="35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</row>
    <row r="742">
      <c r="A742" s="35"/>
      <c r="B742" s="35"/>
      <c r="C742" s="35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</row>
    <row r="743">
      <c r="A743" s="35"/>
      <c r="B743" s="35"/>
      <c r="C743" s="35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</row>
    <row r="744">
      <c r="A744" s="35"/>
      <c r="B744" s="35"/>
      <c r="C744" s="35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</row>
    <row r="745">
      <c r="A745" s="35"/>
      <c r="B745" s="35"/>
      <c r="C745" s="35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</row>
    <row r="746">
      <c r="A746" s="35"/>
      <c r="B746" s="35"/>
      <c r="C746" s="35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</row>
    <row r="747">
      <c r="A747" s="35"/>
      <c r="B747" s="35"/>
      <c r="C747" s="35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</row>
    <row r="748">
      <c r="A748" s="35"/>
      <c r="B748" s="35"/>
      <c r="C748" s="35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</row>
    <row r="749">
      <c r="A749" s="35"/>
      <c r="B749" s="35"/>
      <c r="C749" s="35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</row>
    <row r="750">
      <c r="A750" s="35"/>
      <c r="B750" s="35"/>
      <c r="C750" s="35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</row>
    <row r="751">
      <c r="A751" s="35"/>
      <c r="B751" s="35"/>
      <c r="C751" s="35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</row>
    <row r="752">
      <c r="A752" s="35"/>
      <c r="B752" s="35"/>
      <c r="C752" s="35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</row>
    <row r="753">
      <c r="A753" s="35"/>
      <c r="B753" s="35"/>
      <c r="C753" s="35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</row>
    <row r="754">
      <c r="A754" s="35"/>
      <c r="B754" s="35"/>
      <c r="C754" s="35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</row>
    <row r="755">
      <c r="A755" s="35"/>
      <c r="B755" s="35"/>
      <c r="C755" s="35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</row>
    <row r="756">
      <c r="A756" s="35"/>
      <c r="B756" s="35"/>
      <c r="C756" s="35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</row>
    <row r="757">
      <c r="A757" s="35"/>
      <c r="B757" s="35"/>
      <c r="C757" s="35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</row>
    <row r="758">
      <c r="A758" s="35"/>
      <c r="B758" s="35"/>
      <c r="C758" s="35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</row>
    <row r="759">
      <c r="A759" s="35"/>
      <c r="B759" s="35"/>
      <c r="C759" s="35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</row>
    <row r="760">
      <c r="A760" s="35"/>
      <c r="B760" s="35"/>
      <c r="C760" s="35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</row>
    <row r="761">
      <c r="A761" s="35"/>
      <c r="B761" s="35"/>
      <c r="C761" s="35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</row>
    <row r="762">
      <c r="A762" s="35"/>
      <c r="B762" s="35"/>
      <c r="C762" s="35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</row>
    <row r="763">
      <c r="A763" s="35"/>
      <c r="B763" s="35"/>
      <c r="C763" s="35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</row>
    <row r="764">
      <c r="A764" s="35"/>
      <c r="B764" s="35"/>
      <c r="C764" s="35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</row>
    <row r="765">
      <c r="A765" s="35"/>
      <c r="B765" s="35"/>
      <c r="C765" s="35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</row>
    <row r="766">
      <c r="A766" s="35"/>
      <c r="B766" s="35"/>
      <c r="C766" s="35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</row>
    <row r="767">
      <c r="A767" s="35"/>
      <c r="B767" s="35"/>
      <c r="C767" s="35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</row>
    <row r="768">
      <c r="A768" s="35"/>
      <c r="B768" s="35"/>
      <c r="C768" s="35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</row>
    <row r="769">
      <c r="A769" s="35"/>
      <c r="B769" s="35"/>
      <c r="C769" s="35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</row>
    <row r="770">
      <c r="A770" s="35"/>
      <c r="B770" s="35"/>
      <c r="C770" s="35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</row>
    <row r="771">
      <c r="A771" s="35"/>
      <c r="B771" s="35"/>
      <c r="C771" s="35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</row>
    <row r="772">
      <c r="A772" s="35"/>
      <c r="B772" s="35"/>
      <c r="C772" s="35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</row>
    <row r="773">
      <c r="A773" s="35"/>
      <c r="B773" s="35"/>
      <c r="C773" s="35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</row>
    <row r="774">
      <c r="A774" s="35"/>
      <c r="B774" s="35"/>
      <c r="C774" s="35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</row>
    <row r="775">
      <c r="A775" s="35"/>
      <c r="B775" s="35"/>
      <c r="C775" s="35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</row>
    <row r="776">
      <c r="A776" s="35"/>
      <c r="B776" s="35"/>
      <c r="C776" s="35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</row>
    <row r="777">
      <c r="A777" s="35"/>
      <c r="B777" s="35"/>
      <c r="C777" s="35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</row>
    <row r="778">
      <c r="A778" s="35"/>
      <c r="B778" s="35"/>
      <c r="C778" s="35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</row>
    <row r="779">
      <c r="A779" s="35"/>
      <c r="B779" s="35"/>
      <c r="C779" s="35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</row>
    <row r="780">
      <c r="A780" s="35"/>
      <c r="B780" s="35"/>
      <c r="C780" s="35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</row>
    <row r="781">
      <c r="A781" s="35"/>
      <c r="B781" s="35"/>
      <c r="C781" s="35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</row>
    <row r="782">
      <c r="A782" s="35"/>
      <c r="B782" s="35"/>
      <c r="C782" s="35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</row>
    <row r="783">
      <c r="A783" s="35"/>
      <c r="B783" s="35"/>
      <c r="C783" s="35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</row>
    <row r="784">
      <c r="A784" s="35"/>
      <c r="B784" s="35"/>
      <c r="C784" s="35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</row>
    <row r="785">
      <c r="A785" s="35"/>
      <c r="B785" s="35"/>
      <c r="C785" s="35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</row>
    <row r="786">
      <c r="A786" s="35"/>
      <c r="B786" s="35"/>
      <c r="C786" s="35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</row>
    <row r="787">
      <c r="A787" s="35"/>
      <c r="B787" s="35"/>
      <c r="C787" s="35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</row>
    <row r="788">
      <c r="A788" s="35"/>
      <c r="B788" s="35"/>
      <c r="C788" s="35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</row>
    <row r="789">
      <c r="A789" s="35"/>
      <c r="B789" s="35"/>
      <c r="C789" s="35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</row>
    <row r="790">
      <c r="A790" s="35"/>
      <c r="B790" s="35"/>
      <c r="C790" s="35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</row>
    <row r="791">
      <c r="A791" s="35"/>
      <c r="B791" s="35"/>
      <c r="C791" s="35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</row>
    <row r="792">
      <c r="A792" s="35"/>
      <c r="B792" s="35"/>
      <c r="C792" s="35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</row>
    <row r="793">
      <c r="A793" s="35"/>
      <c r="B793" s="35"/>
      <c r="C793" s="35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</row>
    <row r="794">
      <c r="A794" s="35"/>
      <c r="B794" s="35"/>
      <c r="C794" s="35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</row>
    <row r="795">
      <c r="A795" s="35"/>
      <c r="B795" s="35"/>
      <c r="C795" s="35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</row>
    <row r="796">
      <c r="A796" s="35"/>
      <c r="B796" s="35"/>
      <c r="C796" s="35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</row>
    <row r="797">
      <c r="A797" s="35"/>
      <c r="B797" s="35"/>
      <c r="C797" s="35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</row>
    <row r="798">
      <c r="A798" s="35"/>
      <c r="B798" s="35"/>
      <c r="C798" s="35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</row>
    <row r="799">
      <c r="A799" s="35"/>
      <c r="B799" s="35"/>
      <c r="C799" s="35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</row>
    <row r="800">
      <c r="A800" s="35"/>
      <c r="B800" s="35"/>
      <c r="C800" s="35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</row>
    <row r="801">
      <c r="A801" s="35"/>
      <c r="B801" s="35"/>
      <c r="C801" s="35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</row>
    <row r="802">
      <c r="A802" s="35"/>
      <c r="B802" s="35"/>
      <c r="C802" s="35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</row>
    <row r="803">
      <c r="A803" s="35"/>
      <c r="B803" s="35"/>
      <c r="C803" s="35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</row>
    <row r="804">
      <c r="A804" s="35"/>
      <c r="B804" s="35"/>
      <c r="C804" s="35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</row>
    <row r="805">
      <c r="A805" s="35"/>
      <c r="B805" s="35"/>
      <c r="C805" s="35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</row>
    <row r="806">
      <c r="A806" s="35"/>
      <c r="B806" s="35"/>
      <c r="C806" s="35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</row>
    <row r="807">
      <c r="A807" s="35"/>
      <c r="B807" s="35"/>
      <c r="C807" s="35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</row>
    <row r="808">
      <c r="A808" s="35"/>
      <c r="B808" s="35"/>
      <c r="C808" s="35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</row>
    <row r="809">
      <c r="A809" s="35"/>
      <c r="B809" s="35"/>
      <c r="C809" s="35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</row>
    <row r="810">
      <c r="A810" s="35"/>
      <c r="B810" s="35"/>
      <c r="C810" s="35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</row>
    <row r="811">
      <c r="A811" s="35"/>
      <c r="B811" s="35"/>
      <c r="C811" s="35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</row>
    <row r="812">
      <c r="A812" s="35"/>
      <c r="B812" s="35"/>
      <c r="C812" s="35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</row>
    <row r="813">
      <c r="A813" s="35"/>
      <c r="B813" s="35"/>
      <c r="C813" s="35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</row>
    <row r="814">
      <c r="A814" s="35"/>
      <c r="B814" s="35"/>
      <c r="C814" s="35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</row>
    <row r="815">
      <c r="A815" s="35"/>
      <c r="B815" s="35"/>
      <c r="C815" s="35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</row>
    <row r="816">
      <c r="A816" s="35"/>
      <c r="B816" s="35"/>
      <c r="C816" s="35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</row>
    <row r="817">
      <c r="A817" s="35"/>
      <c r="B817" s="35"/>
      <c r="C817" s="35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</row>
    <row r="818">
      <c r="A818" s="35"/>
      <c r="B818" s="35"/>
      <c r="C818" s="35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</row>
    <row r="819">
      <c r="A819" s="35"/>
      <c r="B819" s="35"/>
      <c r="C819" s="35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</row>
    <row r="820">
      <c r="A820" s="35"/>
      <c r="B820" s="35"/>
      <c r="C820" s="35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</row>
    <row r="821">
      <c r="A821" s="35"/>
      <c r="B821" s="35"/>
      <c r="C821" s="35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</row>
    <row r="822">
      <c r="A822" s="35"/>
      <c r="B822" s="35"/>
      <c r="C822" s="35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</row>
    <row r="823">
      <c r="A823" s="35"/>
      <c r="B823" s="35"/>
      <c r="C823" s="35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</row>
    <row r="824">
      <c r="A824" s="35"/>
      <c r="B824" s="35"/>
      <c r="C824" s="35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</row>
    <row r="825">
      <c r="A825" s="35"/>
      <c r="B825" s="35"/>
      <c r="C825" s="35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</row>
    <row r="826">
      <c r="A826" s="35"/>
      <c r="B826" s="35"/>
      <c r="C826" s="35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</row>
    <row r="827">
      <c r="A827" s="35"/>
      <c r="B827" s="35"/>
      <c r="C827" s="35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</row>
    <row r="828">
      <c r="A828" s="35"/>
      <c r="B828" s="35"/>
      <c r="C828" s="35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</row>
    <row r="829">
      <c r="A829" s="35"/>
      <c r="B829" s="35"/>
      <c r="C829" s="35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</row>
    <row r="830">
      <c r="A830" s="35"/>
      <c r="B830" s="35"/>
      <c r="C830" s="35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</row>
    <row r="831">
      <c r="A831" s="35"/>
      <c r="B831" s="35"/>
      <c r="C831" s="35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</row>
    <row r="832">
      <c r="A832" s="35"/>
      <c r="B832" s="35"/>
      <c r="C832" s="35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</row>
    <row r="833">
      <c r="A833" s="35"/>
      <c r="B833" s="35"/>
      <c r="C833" s="35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</row>
    <row r="834">
      <c r="A834" s="35"/>
      <c r="B834" s="35"/>
      <c r="C834" s="35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</row>
    <row r="835">
      <c r="A835" s="35"/>
      <c r="B835" s="35"/>
      <c r="C835" s="35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</row>
    <row r="836">
      <c r="A836" s="35"/>
      <c r="B836" s="35"/>
      <c r="C836" s="35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</row>
    <row r="837">
      <c r="A837" s="35"/>
      <c r="B837" s="35"/>
      <c r="C837" s="35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</row>
    <row r="838">
      <c r="A838" s="35"/>
      <c r="B838" s="35"/>
      <c r="C838" s="35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</row>
    <row r="839">
      <c r="A839" s="35"/>
      <c r="B839" s="35"/>
      <c r="C839" s="35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</row>
    <row r="840">
      <c r="A840" s="35"/>
      <c r="B840" s="35"/>
      <c r="C840" s="35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</row>
    <row r="841">
      <c r="A841" s="35"/>
      <c r="B841" s="35"/>
      <c r="C841" s="35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</row>
    <row r="842">
      <c r="A842" s="35"/>
      <c r="B842" s="35"/>
      <c r="C842" s="35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</row>
    <row r="843">
      <c r="A843" s="35"/>
      <c r="B843" s="35"/>
      <c r="C843" s="35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</row>
    <row r="844">
      <c r="A844" s="35"/>
      <c r="B844" s="35"/>
      <c r="C844" s="35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</row>
    <row r="845">
      <c r="A845" s="35"/>
      <c r="B845" s="35"/>
      <c r="C845" s="35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</row>
    <row r="846">
      <c r="A846" s="35"/>
      <c r="B846" s="35"/>
      <c r="C846" s="35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</row>
    <row r="847">
      <c r="A847" s="35"/>
      <c r="B847" s="35"/>
      <c r="C847" s="35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</row>
    <row r="848">
      <c r="A848" s="35"/>
      <c r="B848" s="35"/>
      <c r="C848" s="35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</row>
    <row r="849">
      <c r="A849" s="35"/>
      <c r="B849" s="35"/>
      <c r="C849" s="35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</row>
    <row r="850">
      <c r="A850" s="35"/>
      <c r="B850" s="35"/>
      <c r="C850" s="35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</row>
    <row r="851">
      <c r="A851" s="35"/>
      <c r="B851" s="35"/>
      <c r="C851" s="35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</row>
    <row r="852">
      <c r="A852" s="35"/>
      <c r="B852" s="35"/>
      <c r="C852" s="35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</row>
    <row r="853">
      <c r="A853" s="35"/>
      <c r="B853" s="35"/>
      <c r="C853" s="35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</row>
    <row r="854">
      <c r="A854" s="35"/>
      <c r="B854" s="35"/>
      <c r="C854" s="35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</row>
    <row r="855">
      <c r="A855" s="35"/>
      <c r="B855" s="35"/>
      <c r="C855" s="35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</row>
    <row r="856">
      <c r="A856" s="35"/>
      <c r="B856" s="35"/>
      <c r="C856" s="35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</row>
    <row r="857">
      <c r="A857" s="35"/>
      <c r="B857" s="35"/>
      <c r="C857" s="35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</row>
    <row r="858">
      <c r="A858" s="35"/>
      <c r="B858" s="35"/>
      <c r="C858" s="35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</row>
    <row r="859">
      <c r="A859" s="35"/>
      <c r="B859" s="35"/>
      <c r="C859" s="35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</row>
    <row r="860">
      <c r="A860" s="35"/>
      <c r="B860" s="35"/>
      <c r="C860" s="35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</row>
    <row r="861">
      <c r="A861" s="35"/>
      <c r="B861" s="35"/>
      <c r="C861" s="35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</row>
    <row r="862">
      <c r="A862" s="35"/>
      <c r="B862" s="35"/>
      <c r="C862" s="35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</row>
    <row r="863">
      <c r="A863" s="35"/>
      <c r="B863" s="35"/>
      <c r="C863" s="35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</row>
    <row r="864">
      <c r="A864" s="35"/>
      <c r="B864" s="35"/>
      <c r="C864" s="35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</row>
    <row r="865">
      <c r="A865" s="35"/>
      <c r="B865" s="35"/>
      <c r="C865" s="35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</row>
    <row r="866">
      <c r="A866" s="35"/>
      <c r="B866" s="35"/>
      <c r="C866" s="35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</row>
    <row r="867">
      <c r="A867" s="35"/>
      <c r="B867" s="35"/>
      <c r="C867" s="35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</row>
    <row r="868">
      <c r="A868" s="35"/>
      <c r="B868" s="35"/>
      <c r="C868" s="35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</row>
    <row r="869">
      <c r="A869" s="35"/>
      <c r="B869" s="35"/>
      <c r="C869" s="35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</row>
    <row r="870">
      <c r="A870" s="35"/>
      <c r="B870" s="35"/>
      <c r="C870" s="35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</row>
    <row r="871">
      <c r="A871" s="35"/>
      <c r="B871" s="35"/>
      <c r="C871" s="35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</row>
    <row r="872">
      <c r="A872" s="35"/>
      <c r="B872" s="35"/>
      <c r="C872" s="35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</row>
    <row r="873">
      <c r="A873" s="35"/>
      <c r="B873" s="35"/>
      <c r="C873" s="35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</row>
    <row r="874">
      <c r="A874" s="35"/>
      <c r="B874" s="35"/>
      <c r="C874" s="35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</row>
    <row r="875">
      <c r="A875" s="35"/>
      <c r="B875" s="35"/>
      <c r="C875" s="35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</row>
    <row r="876">
      <c r="A876" s="35"/>
      <c r="B876" s="35"/>
      <c r="C876" s="35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</row>
    <row r="877">
      <c r="A877" s="35"/>
      <c r="B877" s="35"/>
      <c r="C877" s="35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</row>
    <row r="878">
      <c r="A878" s="35"/>
      <c r="B878" s="35"/>
      <c r="C878" s="35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</row>
    <row r="879">
      <c r="A879" s="35"/>
      <c r="B879" s="35"/>
      <c r="C879" s="35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</row>
    <row r="880">
      <c r="A880" s="35"/>
      <c r="B880" s="35"/>
      <c r="C880" s="35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</row>
    <row r="881">
      <c r="A881" s="35"/>
      <c r="B881" s="35"/>
      <c r="C881" s="35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</row>
    <row r="882">
      <c r="A882" s="35"/>
      <c r="B882" s="35"/>
      <c r="C882" s="35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</row>
    <row r="883">
      <c r="A883" s="35"/>
      <c r="B883" s="35"/>
      <c r="C883" s="35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</row>
    <row r="884">
      <c r="A884" s="35"/>
      <c r="B884" s="35"/>
      <c r="C884" s="35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</row>
    <row r="885">
      <c r="A885" s="35"/>
      <c r="B885" s="35"/>
      <c r="C885" s="35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</row>
    <row r="886">
      <c r="A886" s="35"/>
      <c r="B886" s="35"/>
      <c r="C886" s="35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</row>
    <row r="887">
      <c r="A887" s="35"/>
      <c r="B887" s="35"/>
      <c r="C887" s="35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</row>
    <row r="888">
      <c r="A888" s="35"/>
      <c r="B888" s="35"/>
      <c r="C888" s="35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</row>
    <row r="889">
      <c r="A889" s="35"/>
      <c r="B889" s="35"/>
      <c r="C889" s="35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</row>
    <row r="890">
      <c r="A890" s="35"/>
      <c r="B890" s="35"/>
      <c r="C890" s="35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</row>
    <row r="891">
      <c r="A891" s="35"/>
      <c r="B891" s="35"/>
      <c r="C891" s="35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</row>
    <row r="892">
      <c r="A892" s="35"/>
      <c r="B892" s="35"/>
      <c r="C892" s="35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</row>
    <row r="893">
      <c r="A893" s="35"/>
      <c r="B893" s="35"/>
      <c r="C893" s="35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</row>
    <row r="894">
      <c r="A894" s="35"/>
      <c r="B894" s="35"/>
      <c r="C894" s="35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</row>
    <row r="895">
      <c r="A895" s="35"/>
      <c r="B895" s="35"/>
      <c r="C895" s="35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</row>
    <row r="896">
      <c r="A896" s="35"/>
      <c r="B896" s="35"/>
      <c r="C896" s="35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</row>
    <row r="897">
      <c r="A897" s="35"/>
      <c r="B897" s="35"/>
      <c r="C897" s="35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</row>
    <row r="898">
      <c r="A898" s="35"/>
      <c r="B898" s="35"/>
      <c r="C898" s="35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</row>
    <row r="899">
      <c r="A899" s="35"/>
      <c r="B899" s="35"/>
      <c r="C899" s="35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</row>
    <row r="900">
      <c r="A900" s="35"/>
      <c r="B900" s="35"/>
      <c r="C900" s="35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</row>
    <row r="901">
      <c r="A901" s="35"/>
      <c r="B901" s="35"/>
      <c r="C901" s="35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</row>
    <row r="902">
      <c r="A902" s="35"/>
      <c r="B902" s="35"/>
      <c r="C902" s="35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</row>
    <row r="903">
      <c r="A903" s="35"/>
      <c r="B903" s="35"/>
      <c r="C903" s="35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</row>
    <row r="904">
      <c r="A904" s="35"/>
      <c r="B904" s="35"/>
      <c r="C904" s="35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</row>
    <row r="905">
      <c r="A905" s="35"/>
      <c r="B905" s="35"/>
      <c r="C905" s="35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</row>
    <row r="906">
      <c r="A906" s="35"/>
      <c r="B906" s="35"/>
      <c r="C906" s="35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</row>
    <row r="907">
      <c r="A907" s="35"/>
      <c r="B907" s="35"/>
      <c r="C907" s="35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</row>
    <row r="908">
      <c r="A908" s="35"/>
      <c r="B908" s="35"/>
      <c r="C908" s="35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</row>
    <row r="909">
      <c r="A909" s="35"/>
      <c r="B909" s="35"/>
      <c r="C909" s="35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</row>
    <row r="910">
      <c r="A910" s="35"/>
      <c r="B910" s="35"/>
      <c r="C910" s="35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</row>
    <row r="911">
      <c r="A911" s="35"/>
      <c r="B911" s="35"/>
      <c r="C911" s="35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</row>
    <row r="912">
      <c r="A912" s="35"/>
      <c r="B912" s="35"/>
      <c r="C912" s="35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</row>
    <row r="913">
      <c r="A913" s="35"/>
      <c r="B913" s="35"/>
      <c r="C913" s="35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</row>
    <row r="914">
      <c r="A914" s="35"/>
      <c r="B914" s="35"/>
      <c r="C914" s="35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</row>
    <row r="915">
      <c r="A915" s="35"/>
      <c r="B915" s="35"/>
      <c r="C915" s="35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</row>
    <row r="916">
      <c r="A916" s="35"/>
      <c r="B916" s="35"/>
      <c r="C916" s="35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</row>
    <row r="917">
      <c r="A917" s="35"/>
      <c r="B917" s="35"/>
      <c r="C917" s="35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</row>
    <row r="918">
      <c r="A918" s="35"/>
      <c r="B918" s="35"/>
      <c r="C918" s="35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</row>
    <row r="919">
      <c r="A919" s="35"/>
      <c r="B919" s="35"/>
      <c r="C919" s="35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</row>
    <row r="920">
      <c r="A920" s="35"/>
      <c r="B920" s="35"/>
      <c r="C920" s="35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</row>
    <row r="921">
      <c r="A921" s="35"/>
      <c r="B921" s="35"/>
      <c r="C921" s="35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</row>
    <row r="922">
      <c r="A922" s="35"/>
      <c r="B922" s="35"/>
      <c r="C922" s="35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</row>
    <row r="923">
      <c r="A923" s="35"/>
      <c r="B923" s="35"/>
      <c r="C923" s="35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</row>
    <row r="924">
      <c r="A924" s="35"/>
      <c r="B924" s="35"/>
      <c r="C924" s="35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</row>
    <row r="925">
      <c r="A925" s="35"/>
      <c r="B925" s="35"/>
      <c r="C925" s="35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</row>
    <row r="926">
      <c r="A926" s="35"/>
      <c r="B926" s="35"/>
      <c r="C926" s="35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</row>
    <row r="927">
      <c r="A927" s="35"/>
      <c r="B927" s="35"/>
      <c r="C927" s="35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</row>
    <row r="928">
      <c r="A928" s="35"/>
      <c r="B928" s="35"/>
      <c r="C928" s="35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</row>
    <row r="929">
      <c r="A929" s="35"/>
      <c r="B929" s="35"/>
      <c r="C929" s="35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</row>
    <row r="930">
      <c r="A930" s="35"/>
      <c r="B930" s="35"/>
      <c r="C930" s="35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</row>
    <row r="931">
      <c r="A931" s="35"/>
      <c r="B931" s="35"/>
      <c r="C931" s="35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</row>
    <row r="932">
      <c r="A932" s="35"/>
      <c r="B932" s="35"/>
      <c r="C932" s="35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</row>
    <row r="933">
      <c r="A933" s="35"/>
      <c r="B933" s="35"/>
      <c r="C933" s="35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</row>
    <row r="934">
      <c r="A934" s="35"/>
      <c r="B934" s="35"/>
      <c r="C934" s="35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</row>
    <row r="935">
      <c r="A935" s="35"/>
      <c r="B935" s="35"/>
      <c r="C935" s="35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</row>
    <row r="936">
      <c r="A936" s="35"/>
      <c r="B936" s="35"/>
      <c r="C936" s="35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</row>
    <row r="937">
      <c r="A937" s="35"/>
      <c r="B937" s="35"/>
      <c r="C937" s="35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</row>
    <row r="938">
      <c r="A938" s="35"/>
      <c r="B938" s="35"/>
      <c r="C938" s="35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</row>
    <row r="939">
      <c r="A939" s="35"/>
      <c r="B939" s="35"/>
      <c r="C939" s="35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</row>
    <row r="940">
      <c r="A940" s="35"/>
      <c r="B940" s="35"/>
      <c r="C940" s="35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</row>
    <row r="941">
      <c r="A941" s="35"/>
      <c r="B941" s="35"/>
      <c r="C941" s="35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</row>
    <row r="942">
      <c r="A942" s="35"/>
      <c r="B942" s="35"/>
      <c r="C942" s="35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</row>
    <row r="943">
      <c r="A943" s="35"/>
      <c r="B943" s="35"/>
      <c r="C943" s="35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</row>
    <row r="944">
      <c r="A944" s="35"/>
      <c r="B944" s="35"/>
      <c r="C944" s="35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</row>
    <row r="945">
      <c r="A945" s="35"/>
      <c r="B945" s="35"/>
      <c r="C945" s="35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</row>
    <row r="946">
      <c r="A946" s="35"/>
      <c r="B946" s="35"/>
      <c r="C946" s="35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</row>
    <row r="947">
      <c r="A947" s="35"/>
      <c r="B947" s="35"/>
      <c r="C947" s="35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</row>
    <row r="948">
      <c r="A948" s="35"/>
      <c r="B948" s="35"/>
      <c r="C948" s="35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</row>
    <row r="949">
      <c r="A949" s="35"/>
      <c r="B949" s="35"/>
      <c r="C949" s="35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</row>
    <row r="950">
      <c r="A950" s="35"/>
      <c r="B950" s="35"/>
      <c r="C950" s="35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</row>
    <row r="951">
      <c r="A951" s="35"/>
      <c r="B951" s="35"/>
      <c r="C951" s="35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</row>
    <row r="952">
      <c r="A952" s="35"/>
      <c r="B952" s="35"/>
      <c r="C952" s="35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</row>
    <row r="953">
      <c r="A953" s="35"/>
      <c r="B953" s="35"/>
      <c r="C953" s="35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</row>
    <row r="954">
      <c r="A954" s="35"/>
      <c r="B954" s="35"/>
      <c r="C954" s="35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</row>
    <row r="955">
      <c r="A955" s="35"/>
      <c r="B955" s="35"/>
      <c r="C955" s="35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</row>
    <row r="956">
      <c r="A956" s="35"/>
      <c r="B956" s="35"/>
      <c r="C956" s="35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</row>
    <row r="957">
      <c r="A957" s="35"/>
      <c r="B957" s="35"/>
      <c r="C957" s="35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</row>
    <row r="958">
      <c r="A958" s="35"/>
      <c r="B958" s="35"/>
      <c r="C958" s="35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</row>
    <row r="959">
      <c r="A959" s="35"/>
      <c r="B959" s="35"/>
      <c r="C959" s="35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</row>
    <row r="960">
      <c r="A960" s="35"/>
      <c r="B960" s="35"/>
      <c r="C960" s="35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</row>
    <row r="961">
      <c r="A961" s="35"/>
      <c r="B961" s="35"/>
      <c r="C961" s="35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</row>
    <row r="962">
      <c r="A962" s="35"/>
      <c r="B962" s="35"/>
      <c r="C962" s="35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</row>
    <row r="963">
      <c r="A963" s="35"/>
      <c r="B963" s="35"/>
      <c r="C963" s="35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</row>
    <row r="964">
      <c r="A964" s="35"/>
      <c r="B964" s="35"/>
      <c r="C964" s="35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</row>
    <row r="965">
      <c r="A965" s="35"/>
      <c r="B965" s="35"/>
      <c r="C965" s="35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</row>
    <row r="966">
      <c r="A966" s="35"/>
      <c r="B966" s="35"/>
      <c r="C966" s="35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</row>
    <row r="967">
      <c r="A967" s="35"/>
      <c r="B967" s="35"/>
      <c r="C967" s="35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</row>
    <row r="968">
      <c r="A968" s="35"/>
      <c r="B968" s="35"/>
      <c r="C968" s="35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</row>
    <row r="969">
      <c r="A969" s="35"/>
      <c r="B969" s="35"/>
      <c r="C969" s="35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</row>
    <row r="970">
      <c r="A970" s="35"/>
      <c r="B970" s="35"/>
      <c r="C970" s="35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</row>
    <row r="971">
      <c r="A971" s="35"/>
      <c r="B971" s="35"/>
      <c r="C971" s="35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</row>
    <row r="972">
      <c r="A972" s="35"/>
      <c r="B972" s="35"/>
      <c r="C972" s="35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</row>
    <row r="973">
      <c r="A973" s="35"/>
      <c r="B973" s="35"/>
      <c r="C973" s="35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</row>
    <row r="974">
      <c r="A974" s="35"/>
      <c r="B974" s="35"/>
      <c r="C974" s="35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</row>
    <row r="975">
      <c r="A975" s="35"/>
      <c r="B975" s="35"/>
      <c r="C975" s="35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</row>
    <row r="976">
      <c r="A976" s="35"/>
      <c r="B976" s="35"/>
      <c r="C976" s="35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</row>
  </sheetData>
  <mergeCells count="24">
    <mergeCell ref="K5:K6"/>
    <mergeCell ref="L5:L6"/>
    <mergeCell ref="B1:O4"/>
    <mergeCell ref="A5:A6"/>
    <mergeCell ref="B5:B6"/>
    <mergeCell ref="C5:C6"/>
    <mergeCell ref="D5:D6"/>
    <mergeCell ref="E5:I5"/>
    <mergeCell ref="J5:J6"/>
    <mergeCell ref="O5:O6"/>
    <mergeCell ref="E33:I33"/>
    <mergeCell ref="J33:J34"/>
    <mergeCell ref="K33:K34"/>
    <mergeCell ref="L33:L34"/>
    <mergeCell ref="M33:M34"/>
    <mergeCell ref="N33:N34"/>
    <mergeCell ref="M5:M6"/>
    <mergeCell ref="N5:N6"/>
    <mergeCell ref="B29:O32"/>
    <mergeCell ref="A33:A34"/>
    <mergeCell ref="B33:B34"/>
    <mergeCell ref="C33:C34"/>
    <mergeCell ref="D33:D34"/>
    <mergeCell ref="O33:O34"/>
  </mergeCells>
  <conditionalFormatting sqref="K7:K27 M7:M27 K35:K55 M35:M55">
    <cfRule type="cellIs" dxfId="0" priority="1" operator="between">
      <formula>"0%"</formula>
      <formula>"79.99%"</formula>
    </cfRule>
  </conditionalFormatting>
  <conditionalFormatting sqref="K7:K27 M7:M27 K35:K55 M35:M55">
    <cfRule type="cellIs" dxfId="1" priority="2" operator="between">
      <formula>"80%"</formula>
      <formula>"99.99%"</formula>
    </cfRule>
  </conditionalFormatting>
  <conditionalFormatting sqref="K7:K27 M7:M27 K35:K55 M35:M55">
    <cfRule type="cellIs" dxfId="2" priority="3" operator="between">
      <formula>"100%"</formula>
      <formula>"500%"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5.13"/>
    <col customWidth="1" min="3" max="3" width="22.88"/>
    <col customWidth="1" min="4" max="10" width="18.25"/>
    <col customWidth="1" min="13" max="13" width="13.63"/>
    <col customWidth="1" min="16" max="16" width="24.0"/>
    <col customWidth="1" min="17" max="17" width="14.88"/>
  </cols>
  <sheetData>
    <row r="1" ht="14.25" customHeight="1">
      <c r="A1" s="69" t="s">
        <v>0</v>
      </c>
      <c r="B1" s="42" t="s">
        <v>155</v>
      </c>
    </row>
    <row r="2" ht="11.25" customHeight="1">
      <c r="A2" s="3"/>
    </row>
    <row r="3">
      <c r="A3" s="3"/>
    </row>
    <row r="4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>
      <c r="A5" s="5" t="s">
        <v>2</v>
      </c>
      <c r="B5" s="5" t="s">
        <v>3</v>
      </c>
      <c r="C5" s="5" t="s">
        <v>4</v>
      </c>
      <c r="D5" s="6" t="s">
        <v>5</v>
      </c>
      <c r="E5" s="7" t="s">
        <v>6</v>
      </c>
      <c r="F5" s="4"/>
      <c r="G5" s="4"/>
      <c r="H5" s="4"/>
      <c r="I5" s="8"/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12</v>
      </c>
    </row>
    <row r="6">
      <c r="A6" s="8"/>
      <c r="B6" s="8"/>
      <c r="C6" s="8"/>
      <c r="D6" s="8"/>
      <c r="E6" s="9" t="s">
        <v>13</v>
      </c>
      <c r="F6" s="6" t="s">
        <v>14</v>
      </c>
      <c r="G6" s="9" t="s">
        <v>15</v>
      </c>
      <c r="H6" s="9" t="s">
        <v>16</v>
      </c>
      <c r="I6" s="9" t="s">
        <v>17</v>
      </c>
      <c r="J6" s="8"/>
      <c r="K6" s="8"/>
      <c r="L6" s="8"/>
      <c r="M6" s="8"/>
      <c r="N6" s="8"/>
      <c r="O6" s="8"/>
    </row>
    <row r="7">
      <c r="A7" s="10">
        <v>100.0</v>
      </c>
      <c r="B7" s="11" t="s">
        <v>18</v>
      </c>
      <c r="C7" s="11" t="s">
        <v>19</v>
      </c>
      <c r="D7" s="12">
        <v>1.0027777777777778E9</v>
      </c>
      <c r="E7" s="96">
        <v>1.779335934E8</v>
      </c>
      <c r="F7" s="97">
        <v>1.5116256918E8</v>
      </c>
      <c r="G7" s="94">
        <v>1.991914894E8</v>
      </c>
      <c r="H7" s="13">
        <v>2.4012377603E8</v>
      </c>
      <c r="I7" s="13">
        <v>1.8985126498E8</v>
      </c>
      <c r="J7" s="14">
        <f t="shared" ref="J7:J9" si="1">SUM(E7:I7)</f>
        <v>958262693</v>
      </c>
      <c r="K7" s="15">
        <f t="shared" ref="K7:K27" si="2">J7/D7</f>
        <v>0.9556082257</v>
      </c>
      <c r="L7" s="16">
        <f t="shared" ref="L7:L9" si="3">J7/O7*N7</f>
        <v>958262693</v>
      </c>
      <c r="M7" s="59">
        <f t="shared" ref="M7:M9" si="4">L7/D7</f>
        <v>0.9556082257</v>
      </c>
      <c r="N7" s="18">
        <v>21.0</v>
      </c>
      <c r="O7" s="19">
        <v>21.0</v>
      </c>
      <c r="P7" s="20" t="s">
        <v>156</v>
      </c>
      <c r="Q7" s="47"/>
      <c r="R7" s="91"/>
    </row>
    <row r="8">
      <c r="A8" s="10">
        <v>6.0</v>
      </c>
      <c r="B8" s="11" t="s">
        <v>21</v>
      </c>
      <c r="C8" s="11" t="s">
        <v>19</v>
      </c>
      <c r="D8" s="12">
        <v>8.0E7</v>
      </c>
      <c r="E8" s="96">
        <v>1.475433124E7</v>
      </c>
      <c r="F8" s="97">
        <v>1.649063474E7</v>
      </c>
      <c r="G8" s="94">
        <v>1.439171105E7</v>
      </c>
      <c r="H8" s="13">
        <v>1.64920599E7</v>
      </c>
      <c r="I8" s="12">
        <v>1.26516419E7</v>
      </c>
      <c r="J8" s="14">
        <f t="shared" si="1"/>
        <v>74780378.83</v>
      </c>
      <c r="K8" s="15">
        <f t="shared" si="2"/>
        <v>0.9347547354</v>
      </c>
      <c r="L8" s="16">
        <f t="shared" si="3"/>
        <v>74780378.83</v>
      </c>
      <c r="M8" s="59">
        <f t="shared" si="4"/>
        <v>0.9347547354</v>
      </c>
      <c r="N8" s="18">
        <v>21.0</v>
      </c>
      <c r="O8" s="19">
        <v>21.0</v>
      </c>
      <c r="P8" s="20" t="s">
        <v>156</v>
      </c>
      <c r="Q8" s="47"/>
      <c r="R8" s="91"/>
    </row>
    <row r="9">
      <c r="A9" s="10">
        <v>64.0</v>
      </c>
      <c r="B9" s="10" t="s">
        <v>22</v>
      </c>
      <c r="C9" s="11" t="s">
        <v>19</v>
      </c>
      <c r="D9" s="12">
        <v>5.0E8</v>
      </c>
      <c r="E9" s="96">
        <v>5.78565E7</v>
      </c>
      <c r="F9" s="94">
        <v>1.146505E8</v>
      </c>
      <c r="G9" s="94">
        <v>1.19727099E8</v>
      </c>
      <c r="H9" s="12">
        <v>8.8112E7</v>
      </c>
      <c r="I9" s="12">
        <v>5.05785E7</v>
      </c>
      <c r="J9" s="14">
        <f t="shared" si="1"/>
        <v>430924599</v>
      </c>
      <c r="K9" s="15">
        <f t="shared" si="2"/>
        <v>0.861849198</v>
      </c>
      <c r="L9" s="16">
        <f t="shared" si="3"/>
        <v>430924599</v>
      </c>
      <c r="M9" s="59">
        <f t="shared" si="4"/>
        <v>0.861849198</v>
      </c>
      <c r="N9" s="18">
        <v>22.0</v>
      </c>
      <c r="O9" s="19">
        <v>22.0</v>
      </c>
      <c r="P9" s="20" t="s">
        <v>157</v>
      </c>
      <c r="Q9" s="48"/>
      <c r="R9" s="91"/>
    </row>
    <row r="10">
      <c r="A10" s="10">
        <v>2.0</v>
      </c>
      <c r="B10" s="10" t="s">
        <v>24</v>
      </c>
      <c r="C10" s="10" t="s">
        <v>68</v>
      </c>
      <c r="D10" s="21">
        <v>1.0</v>
      </c>
      <c r="E10" s="21"/>
      <c r="F10" s="21">
        <v>1.75</v>
      </c>
      <c r="G10" s="21">
        <v>1.75</v>
      </c>
      <c r="H10" s="21">
        <v>1.75</v>
      </c>
      <c r="I10" s="21">
        <v>1.82</v>
      </c>
      <c r="J10" s="57">
        <f t="shared" ref="J10:J11" si="5">I10</f>
        <v>1.82</v>
      </c>
      <c r="K10" s="15">
        <f t="shared" si="2"/>
        <v>1.82</v>
      </c>
      <c r="L10" s="58">
        <f t="shared" ref="L10:L11" si="6">K10</f>
        <v>1.82</v>
      </c>
      <c r="M10" s="59">
        <f t="shared" ref="M10:M11" si="7">K10</f>
        <v>1.82</v>
      </c>
      <c r="N10" s="18">
        <v>22.0</v>
      </c>
      <c r="O10" s="19">
        <v>22.0</v>
      </c>
      <c r="P10" s="20" t="s">
        <v>157</v>
      </c>
      <c r="Q10" s="48"/>
      <c r="R10" s="91"/>
    </row>
    <row r="11">
      <c r="A11" s="10">
        <v>10.0</v>
      </c>
      <c r="B11" s="10" t="s">
        <v>25</v>
      </c>
      <c r="C11" s="11" t="s">
        <v>26</v>
      </c>
      <c r="D11" s="21">
        <v>1.0</v>
      </c>
      <c r="E11" s="21">
        <v>0.7079</v>
      </c>
      <c r="F11" s="21">
        <v>0.8079</v>
      </c>
      <c r="G11" s="21">
        <v>0.8935</v>
      </c>
      <c r="H11" s="21">
        <v>1.0555</v>
      </c>
      <c r="I11" s="21">
        <v>1.1518</v>
      </c>
      <c r="J11" s="57">
        <f t="shared" si="5"/>
        <v>1.1518</v>
      </c>
      <c r="K11" s="15">
        <f t="shared" si="2"/>
        <v>1.1518</v>
      </c>
      <c r="L11" s="98">
        <f t="shared" si="6"/>
        <v>1.1518</v>
      </c>
      <c r="M11" s="78">
        <f t="shared" si="7"/>
        <v>1.1518</v>
      </c>
      <c r="N11" s="18">
        <v>22.0</v>
      </c>
      <c r="O11" s="19">
        <v>22.0</v>
      </c>
      <c r="P11" s="20" t="s">
        <v>157</v>
      </c>
      <c r="Q11" s="48"/>
      <c r="R11" s="92"/>
    </row>
    <row r="12">
      <c r="A12" s="10">
        <v>21.0</v>
      </c>
      <c r="B12" s="10" t="s">
        <v>27</v>
      </c>
      <c r="C12" s="11" t="s">
        <v>19</v>
      </c>
      <c r="D12" s="19">
        <v>1673.0</v>
      </c>
      <c r="E12" s="18">
        <v>163.0</v>
      </c>
      <c r="F12" s="18">
        <v>342.0</v>
      </c>
      <c r="G12" s="18">
        <v>483.0</v>
      </c>
      <c r="H12" s="18">
        <v>606.0</v>
      </c>
      <c r="I12" s="29">
        <v>102.0</v>
      </c>
      <c r="J12" s="30">
        <f t="shared" ref="J12:J25" si="8">SUM(E12:I12)</f>
        <v>1696</v>
      </c>
      <c r="K12" s="15">
        <f t="shared" si="2"/>
        <v>1.013747759</v>
      </c>
      <c r="L12" s="16">
        <f t="shared" ref="L12:L25" si="9">J12/O12*N12</f>
        <v>1696</v>
      </c>
      <c r="M12" s="59">
        <f t="shared" ref="M12:M25" si="10">L12/D12</f>
        <v>1.013747759</v>
      </c>
      <c r="N12" s="18">
        <v>22.0</v>
      </c>
      <c r="O12" s="18">
        <v>22.0</v>
      </c>
      <c r="P12" s="20" t="s">
        <v>158</v>
      </c>
      <c r="Q12" s="48"/>
      <c r="R12" s="91"/>
    </row>
    <row r="13">
      <c r="A13" s="10">
        <v>15.0</v>
      </c>
      <c r="B13" s="10" t="s">
        <v>29</v>
      </c>
      <c r="C13" s="11" t="s">
        <v>19</v>
      </c>
      <c r="D13" s="19">
        <v>7.0234E7</v>
      </c>
      <c r="E13" s="19">
        <v>1.3834E7</v>
      </c>
      <c r="F13" s="12">
        <v>1.1354E7</v>
      </c>
      <c r="G13" s="12">
        <v>2.1879E7</v>
      </c>
      <c r="H13" s="12">
        <v>1.1339E7</v>
      </c>
      <c r="I13" s="19">
        <v>6236000.0</v>
      </c>
      <c r="J13" s="30">
        <f t="shared" si="8"/>
        <v>64642000</v>
      </c>
      <c r="K13" s="15">
        <f t="shared" si="2"/>
        <v>0.9203804425</v>
      </c>
      <c r="L13" s="16">
        <f t="shared" si="9"/>
        <v>64642000</v>
      </c>
      <c r="M13" s="59">
        <f t="shared" si="10"/>
        <v>0.9203804425</v>
      </c>
      <c r="N13" s="18">
        <v>22.0</v>
      </c>
      <c r="O13" s="18">
        <v>22.0</v>
      </c>
      <c r="P13" s="20" t="s">
        <v>158</v>
      </c>
      <c r="Q13" s="48"/>
      <c r="R13" s="91"/>
    </row>
    <row r="14">
      <c r="A14" s="10">
        <v>35.0</v>
      </c>
      <c r="B14" s="10" t="s">
        <v>31</v>
      </c>
      <c r="C14" s="11" t="s">
        <v>19</v>
      </c>
      <c r="D14" s="12">
        <v>4.32130192E8</v>
      </c>
      <c r="E14" s="19">
        <v>8.2615926E7</v>
      </c>
      <c r="F14" s="19">
        <v>7.7111461E7</v>
      </c>
      <c r="G14" s="19">
        <v>6.042542E7</v>
      </c>
      <c r="H14" s="19">
        <v>6.4784291E7</v>
      </c>
      <c r="I14" s="19">
        <v>3.6152842E7</v>
      </c>
      <c r="J14" s="30">
        <f t="shared" si="8"/>
        <v>321089940</v>
      </c>
      <c r="K14" s="15">
        <f t="shared" si="2"/>
        <v>0.7430398198</v>
      </c>
      <c r="L14" s="16">
        <f t="shared" si="9"/>
        <v>321089940</v>
      </c>
      <c r="M14" s="59">
        <f t="shared" si="10"/>
        <v>0.7430398198</v>
      </c>
      <c r="N14" s="18">
        <v>22.0</v>
      </c>
      <c r="O14" s="18">
        <v>22.0</v>
      </c>
      <c r="P14" s="20" t="s">
        <v>159</v>
      </c>
      <c r="Q14" s="48"/>
      <c r="R14" s="91"/>
    </row>
    <row r="15" ht="17.25" customHeight="1">
      <c r="A15" s="10">
        <v>102.0</v>
      </c>
      <c r="B15" s="11" t="s">
        <v>32</v>
      </c>
      <c r="C15" s="11" t="s">
        <v>19</v>
      </c>
      <c r="D15" s="19">
        <v>17538.0</v>
      </c>
      <c r="E15" s="18">
        <v>3703.0</v>
      </c>
      <c r="F15" s="60">
        <v>2767.0</v>
      </c>
      <c r="G15" s="60">
        <v>3553.0</v>
      </c>
      <c r="H15" s="18">
        <v>1334.0</v>
      </c>
      <c r="I15" s="18"/>
      <c r="J15" s="30">
        <f t="shared" si="8"/>
        <v>11357</v>
      </c>
      <c r="K15" s="15">
        <f t="shared" si="2"/>
        <v>0.6475652868</v>
      </c>
      <c r="L15" s="16">
        <f t="shared" si="9"/>
        <v>11357</v>
      </c>
      <c r="M15" s="59">
        <f t="shared" si="10"/>
        <v>0.6475652868</v>
      </c>
      <c r="N15" s="18">
        <v>22.0</v>
      </c>
      <c r="O15" s="18">
        <v>22.0</v>
      </c>
      <c r="P15" s="20" t="s">
        <v>160</v>
      </c>
      <c r="Q15" s="47"/>
      <c r="R15" s="91"/>
    </row>
    <row r="16">
      <c r="A16" s="10">
        <v>5.0</v>
      </c>
      <c r="B16" s="10" t="s">
        <v>117</v>
      </c>
      <c r="C16" s="11" t="s">
        <v>19</v>
      </c>
      <c r="D16" s="19">
        <v>1488.0</v>
      </c>
      <c r="E16" s="62">
        <v>90.0</v>
      </c>
      <c r="F16" s="63">
        <v>137.0</v>
      </c>
      <c r="G16" s="63">
        <v>169.0</v>
      </c>
      <c r="H16" s="18"/>
      <c r="I16" s="18"/>
      <c r="J16" s="45">
        <f t="shared" si="8"/>
        <v>396</v>
      </c>
      <c r="K16" s="15">
        <f t="shared" si="2"/>
        <v>0.2661290323</v>
      </c>
      <c r="L16" s="16">
        <f t="shared" si="9"/>
        <v>396</v>
      </c>
      <c r="M16" s="59">
        <f t="shared" si="10"/>
        <v>0.2661290323</v>
      </c>
      <c r="N16" s="18">
        <f t="shared" ref="N16:P16" si="11">N15</f>
        <v>22</v>
      </c>
      <c r="O16" s="18">
        <f t="shared" si="11"/>
        <v>22</v>
      </c>
      <c r="P16" s="20" t="str">
        <f t="shared" si="11"/>
        <v>As of Oct 30, 2025</v>
      </c>
      <c r="Q16" s="48"/>
      <c r="R16" s="91"/>
    </row>
    <row r="17">
      <c r="A17" s="10">
        <v>13.0</v>
      </c>
      <c r="B17" s="10" t="s">
        <v>118</v>
      </c>
      <c r="C17" s="11" t="s">
        <v>19</v>
      </c>
      <c r="D17" s="19">
        <v>1677.0</v>
      </c>
      <c r="E17" s="62">
        <v>436.0</v>
      </c>
      <c r="F17" s="63">
        <v>474.0</v>
      </c>
      <c r="G17" s="63">
        <v>638.0</v>
      </c>
      <c r="H17" s="18"/>
      <c r="I17" s="18"/>
      <c r="J17" s="45">
        <f t="shared" si="8"/>
        <v>1548</v>
      </c>
      <c r="K17" s="15">
        <f t="shared" si="2"/>
        <v>0.9230769231</v>
      </c>
      <c r="L17" s="16">
        <f t="shared" si="9"/>
        <v>1548</v>
      </c>
      <c r="M17" s="59">
        <f t="shared" si="10"/>
        <v>0.9230769231</v>
      </c>
      <c r="N17" s="18">
        <f>N16</f>
        <v>22</v>
      </c>
      <c r="O17" s="18">
        <v>22.0</v>
      </c>
      <c r="P17" s="20" t="str">
        <f>P16</f>
        <v>As of Oct 30, 2025</v>
      </c>
      <c r="Q17" s="48"/>
      <c r="R17" s="91"/>
    </row>
    <row r="18">
      <c r="A18" s="10">
        <v>39.0</v>
      </c>
      <c r="B18" s="11" t="s">
        <v>35</v>
      </c>
      <c r="C18" s="11" t="s">
        <v>19</v>
      </c>
      <c r="D18" s="19">
        <v>4.9686E8</v>
      </c>
      <c r="E18" s="80">
        <f>39709000+41329000+56669000</f>
        <v>137707000</v>
      </c>
      <c r="F18" s="82">
        <f>68235600+56039000+49136000+39152000+51185500</f>
        <v>263748100</v>
      </c>
      <c r="G18" s="82">
        <f>55030200+53590471+37557000+42114000+33507000</f>
        <v>221798671</v>
      </c>
      <c r="H18" s="19">
        <f>46356420+53944600+39338000+43891500+45171515</f>
        <v>228702035</v>
      </c>
      <c r="I18" s="19">
        <f>48676000+31651000+41847500+60993000</f>
        <v>183167500</v>
      </c>
      <c r="J18" s="30">
        <f t="shared" si="8"/>
        <v>1035123306</v>
      </c>
      <c r="K18" s="15">
        <f t="shared" si="2"/>
        <v>2.083329924</v>
      </c>
      <c r="L18" s="16">
        <f t="shared" si="9"/>
        <v>1035123306</v>
      </c>
      <c r="M18" s="59">
        <f t="shared" si="10"/>
        <v>2.083329924</v>
      </c>
      <c r="N18" s="18">
        <v>22.0</v>
      </c>
      <c r="O18" s="18">
        <v>22.0</v>
      </c>
      <c r="P18" s="20" t="s">
        <v>161</v>
      </c>
      <c r="Q18" s="47"/>
      <c r="R18" s="91"/>
    </row>
    <row r="19">
      <c r="A19" s="10">
        <v>5.0</v>
      </c>
      <c r="B19" s="11" t="s">
        <v>37</v>
      </c>
      <c r="C19" s="11" t="s">
        <v>19</v>
      </c>
      <c r="D19" s="12">
        <v>800.0</v>
      </c>
      <c r="E19" s="80">
        <f>15+21+21</f>
        <v>57</v>
      </c>
      <c r="F19" s="81">
        <f>24+24+36+41+19</f>
        <v>144</v>
      </c>
      <c r="G19" s="82">
        <f>25+37+21+26+34</f>
        <v>143</v>
      </c>
      <c r="H19" s="34">
        <f>41+36+37+35+29+43</f>
        <v>221</v>
      </c>
      <c r="I19" s="34">
        <f>30+39+33+24</f>
        <v>126</v>
      </c>
      <c r="J19" s="30">
        <f t="shared" si="8"/>
        <v>691</v>
      </c>
      <c r="K19" s="15">
        <f t="shared" si="2"/>
        <v>0.86375</v>
      </c>
      <c r="L19" s="16">
        <f t="shared" si="9"/>
        <v>691</v>
      </c>
      <c r="M19" s="99">
        <f t="shared" si="10"/>
        <v>0.86375</v>
      </c>
      <c r="N19" s="18">
        <v>23.0</v>
      </c>
      <c r="O19" s="18">
        <v>23.0</v>
      </c>
      <c r="P19" s="20" t="str">
        <f>P18</f>
        <v>as of October 30, 2025</v>
      </c>
      <c r="Q19" s="47"/>
      <c r="R19" s="91"/>
    </row>
    <row r="20">
      <c r="A20" s="10">
        <v>10.0</v>
      </c>
      <c r="B20" s="11" t="s">
        <v>38</v>
      </c>
      <c r="C20" s="11" t="s">
        <v>19</v>
      </c>
      <c r="D20" s="12">
        <v>2750.0</v>
      </c>
      <c r="E20" s="80">
        <f>197+199+163</f>
        <v>559</v>
      </c>
      <c r="F20" s="89">
        <f>52+79+76+82+87</f>
        <v>376</v>
      </c>
      <c r="G20" s="90">
        <f>92+88+89+60+43</f>
        <v>372</v>
      </c>
      <c r="H20" s="29">
        <f>64+80+84+85+111+49</f>
        <v>473</v>
      </c>
      <c r="I20" s="29">
        <f>90+74+77+100</f>
        <v>341</v>
      </c>
      <c r="J20" s="30">
        <f t="shared" si="8"/>
        <v>2121</v>
      </c>
      <c r="K20" s="15">
        <f t="shared" si="2"/>
        <v>0.7712727273</v>
      </c>
      <c r="L20" s="16">
        <f t="shared" si="9"/>
        <v>2121</v>
      </c>
      <c r="M20" s="59">
        <f t="shared" si="10"/>
        <v>0.7712727273</v>
      </c>
      <c r="N20" s="18">
        <f t="shared" ref="N20:P20" si="12">N19</f>
        <v>23</v>
      </c>
      <c r="O20" s="18">
        <f t="shared" si="12"/>
        <v>23</v>
      </c>
      <c r="P20" s="20" t="str">
        <f t="shared" si="12"/>
        <v>as of October 30, 2025</v>
      </c>
      <c r="Q20" s="47"/>
      <c r="R20" s="91"/>
    </row>
    <row r="21">
      <c r="A21" s="10">
        <v>25.0</v>
      </c>
      <c r="B21" s="10" t="s">
        <v>39</v>
      </c>
      <c r="C21" s="11" t="s">
        <v>19</v>
      </c>
      <c r="D21" s="12">
        <v>4620.0</v>
      </c>
      <c r="E21" s="19">
        <f>136+148+88</f>
        <v>372</v>
      </c>
      <c r="F21" s="29">
        <f>101+130+137+217+265</f>
        <v>850</v>
      </c>
      <c r="G21" s="19">
        <f>292+309+342+360+258</f>
        <v>1561</v>
      </c>
      <c r="H21" s="29">
        <f>264+199+198+258+247+131</f>
        <v>1297</v>
      </c>
      <c r="I21" s="29">
        <f>263+354+231+299</f>
        <v>1147</v>
      </c>
      <c r="J21" s="30">
        <f t="shared" si="8"/>
        <v>5227</v>
      </c>
      <c r="K21" s="15">
        <f t="shared" si="2"/>
        <v>1.131385281</v>
      </c>
      <c r="L21" s="16">
        <f t="shared" si="9"/>
        <v>5227</v>
      </c>
      <c r="M21" s="59">
        <f t="shared" si="10"/>
        <v>1.131385281</v>
      </c>
      <c r="N21" s="18">
        <f t="shared" ref="N21:P21" si="13">N20</f>
        <v>23</v>
      </c>
      <c r="O21" s="63">
        <f t="shared" si="13"/>
        <v>23</v>
      </c>
      <c r="P21" s="20" t="str">
        <f t="shared" si="13"/>
        <v>as of October 30, 2025</v>
      </c>
      <c r="Q21" s="48"/>
      <c r="R21" s="91"/>
    </row>
    <row r="22">
      <c r="A22" s="10">
        <v>20.0</v>
      </c>
      <c r="B22" s="10" t="s">
        <v>40</v>
      </c>
      <c r="C22" s="11" t="s">
        <v>19</v>
      </c>
      <c r="D22" s="12">
        <v>270.0</v>
      </c>
      <c r="E22" s="19">
        <v>9.0</v>
      </c>
      <c r="F22" s="29">
        <v>109.0</v>
      </c>
      <c r="G22" s="29">
        <v>62.0</v>
      </c>
      <c r="H22" s="29">
        <v>57.0</v>
      </c>
      <c r="I22" s="29">
        <v>22.0</v>
      </c>
      <c r="J22" s="30">
        <f t="shared" si="8"/>
        <v>259</v>
      </c>
      <c r="K22" s="15">
        <f t="shared" si="2"/>
        <v>0.9592592593</v>
      </c>
      <c r="L22" s="16">
        <f t="shared" si="9"/>
        <v>259</v>
      </c>
      <c r="M22" s="59">
        <f t="shared" si="10"/>
        <v>0.9592592593</v>
      </c>
      <c r="N22" s="62">
        <v>22.0</v>
      </c>
      <c r="O22" s="63">
        <v>22.0</v>
      </c>
      <c r="P22" s="20" t="s">
        <v>162</v>
      </c>
      <c r="Q22" s="48"/>
      <c r="R22" s="91"/>
    </row>
    <row r="23">
      <c r="A23" s="10">
        <v>21.0</v>
      </c>
      <c r="B23" s="10" t="s">
        <v>73</v>
      </c>
      <c r="C23" s="11" t="s">
        <v>19</v>
      </c>
      <c r="D23" s="12">
        <v>2310.0</v>
      </c>
      <c r="E23" s="19">
        <v>140.0</v>
      </c>
      <c r="F23" s="29">
        <v>665.0</v>
      </c>
      <c r="G23" s="29">
        <v>952.0</v>
      </c>
      <c r="H23" s="32">
        <v>390.0</v>
      </c>
      <c r="I23" s="29">
        <v>644.0</v>
      </c>
      <c r="J23" s="30">
        <f t="shared" si="8"/>
        <v>2791</v>
      </c>
      <c r="K23" s="15">
        <f t="shared" si="2"/>
        <v>1.208225108</v>
      </c>
      <c r="L23" s="16">
        <f t="shared" si="9"/>
        <v>2791</v>
      </c>
      <c r="M23" s="59">
        <f t="shared" si="10"/>
        <v>1.208225108</v>
      </c>
      <c r="N23" s="62">
        <v>22.0</v>
      </c>
      <c r="O23" s="63">
        <v>22.0</v>
      </c>
      <c r="P23" s="20" t="s">
        <v>163</v>
      </c>
      <c r="Q23" s="48"/>
      <c r="R23" s="91"/>
    </row>
    <row r="24">
      <c r="A24" s="10">
        <v>5.0</v>
      </c>
      <c r="B24" s="10" t="s">
        <v>134</v>
      </c>
      <c r="C24" s="11" t="s">
        <v>19</v>
      </c>
      <c r="D24" s="12">
        <v>4.4E7</v>
      </c>
      <c r="E24" s="19">
        <v>1625145.0</v>
      </c>
      <c r="F24" s="12">
        <v>2783119.0</v>
      </c>
      <c r="G24" s="12">
        <v>3097000.0</v>
      </c>
      <c r="H24" s="12">
        <v>5882800.0</v>
      </c>
      <c r="I24" s="12">
        <v>1.43555E7</v>
      </c>
      <c r="J24" s="30">
        <f t="shared" si="8"/>
        <v>27743564</v>
      </c>
      <c r="K24" s="15">
        <f t="shared" si="2"/>
        <v>0.6305355455</v>
      </c>
      <c r="L24" s="16">
        <f t="shared" si="9"/>
        <v>27743564</v>
      </c>
      <c r="M24" s="59">
        <f t="shared" si="10"/>
        <v>0.6305355455</v>
      </c>
      <c r="N24" s="62">
        <v>22.0</v>
      </c>
      <c r="O24" s="63">
        <v>22.0</v>
      </c>
      <c r="P24" s="20" t="s">
        <v>164</v>
      </c>
      <c r="Q24" s="48"/>
      <c r="R24" s="91"/>
    </row>
    <row r="25">
      <c r="A25" s="10">
        <v>3.0</v>
      </c>
      <c r="B25" s="10" t="s">
        <v>43</v>
      </c>
      <c r="C25" s="11" t="s">
        <v>19</v>
      </c>
      <c r="D25" s="12">
        <v>30.0</v>
      </c>
      <c r="E25" s="12">
        <v>5.0</v>
      </c>
      <c r="F25" s="12">
        <v>7.0</v>
      </c>
      <c r="G25" s="12">
        <v>9.0</v>
      </c>
      <c r="H25" s="12">
        <v>9.0</v>
      </c>
      <c r="I25" s="12">
        <v>10.0</v>
      </c>
      <c r="J25" s="14">
        <f t="shared" si="8"/>
        <v>40</v>
      </c>
      <c r="K25" s="15">
        <f t="shared" si="2"/>
        <v>1.333333333</v>
      </c>
      <c r="L25" s="16">
        <f t="shared" si="9"/>
        <v>40</v>
      </c>
      <c r="M25" s="59">
        <f t="shared" si="10"/>
        <v>1.333333333</v>
      </c>
      <c r="N25" s="62">
        <v>22.0</v>
      </c>
      <c r="O25" s="63">
        <v>22.0</v>
      </c>
      <c r="P25" s="20" t="s">
        <v>157</v>
      </c>
      <c r="Q25" s="48"/>
      <c r="R25" s="91"/>
    </row>
    <row r="26">
      <c r="A26" s="10">
        <v>45.0</v>
      </c>
      <c r="B26" s="10" t="s">
        <v>44</v>
      </c>
      <c r="C26" s="11" t="s">
        <v>19</v>
      </c>
      <c r="D26" s="21">
        <v>0.85</v>
      </c>
      <c r="E26" s="21">
        <v>0.9433</v>
      </c>
      <c r="F26" s="24">
        <v>0.89</v>
      </c>
      <c r="G26" s="24">
        <v>0.9</v>
      </c>
      <c r="H26" s="24">
        <v>0.88</v>
      </c>
      <c r="I26" s="24">
        <v>0.89</v>
      </c>
      <c r="J26" s="57">
        <f>I26</f>
        <v>0.89</v>
      </c>
      <c r="K26" s="15">
        <f t="shared" si="2"/>
        <v>1.047058824</v>
      </c>
      <c r="L26" s="15">
        <f t="shared" ref="L26:M26" si="14">J26</f>
        <v>0.89</v>
      </c>
      <c r="M26" s="59">
        <f t="shared" si="14"/>
        <v>1.047058824</v>
      </c>
      <c r="N26" s="62">
        <v>31.0</v>
      </c>
      <c r="O26" s="63">
        <v>31.0</v>
      </c>
      <c r="P26" s="20" t="s">
        <v>157</v>
      </c>
      <c r="Q26" s="48"/>
      <c r="R26" s="91"/>
    </row>
    <row r="27">
      <c r="A27" s="10">
        <v>69.0</v>
      </c>
      <c r="B27" s="10" t="s">
        <v>120</v>
      </c>
      <c r="C27" s="10" t="s">
        <v>121</v>
      </c>
      <c r="D27" s="21">
        <v>0.85</v>
      </c>
      <c r="E27" s="23">
        <v>0.7795</v>
      </c>
      <c r="F27" s="44">
        <v>0.7189</v>
      </c>
      <c r="G27" s="44">
        <v>0.76</v>
      </c>
      <c r="H27" s="44">
        <v>0.7856</v>
      </c>
      <c r="I27" s="24"/>
      <c r="J27" s="23">
        <f>H27</f>
        <v>0.7856</v>
      </c>
      <c r="K27" s="15">
        <f t="shared" si="2"/>
        <v>0.9242352941</v>
      </c>
      <c r="L27" s="15">
        <f>K27</f>
        <v>0.9242352941</v>
      </c>
      <c r="M27" s="59">
        <f>K27</f>
        <v>0.9242352941</v>
      </c>
      <c r="N27" s="62">
        <v>23.0</v>
      </c>
      <c r="O27" s="83">
        <v>23.0</v>
      </c>
      <c r="P27" s="20" t="s">
        <v>161</v>
      </c>
      <c r="Q27" s="48"/>
      <c r="R27" s="91"/>
    </row>
    <row r="28">
      <c r="A28" s="35"/>
      <c r="B28" s="35"/>
      <c r="C28" s="35"/>
      <c r="D28" s="36"/>
      <c r="E28" s="37"/>
      <c r="F28" s="38"/>
      <c r="G28" s="38"/>
      <c r="H28" s="36"/>
      <c r="I28" s="38"/>
      <c r="J28" s="37"/>
      <c r="K28" s="39"/>
      <c r="L28" s="40"/>
      <c r="M28" s="41"/>
      <c r="N28" s="38"/>
      <c r="O28" s="38"/>
      <c r="R28" s="91"/>
    </row>
    <row r="29" ht="15.0" customHeight="1">
      <c r="A29" s="1" t="s">
        <v>0</v>
      </c>
      <c r="B29" s="42" t="s">
        <v>165</v>
      </c>
    </row>
    <row r="30" ht="10.5" customHeight="1">
      <c r="A30" s="3"/>
    </row>
    <row r="31">
      <c r="A31" s="3"/>
    </row>
    <row r="32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>
      <c r="A33" s="5" t="s">
        <v>2</v>
      </c>
      <c r="B33" s="5" t="s">
        <v>3</v>
      </c>
      <c r="C33" s="5" t="s">
        <v>4</v>
      </c>
      <c r="D33" s="6" t="s">
        <v>5</v>
      </c>
      <c r="E33" s="7" t="s">
        <v>6</v>
      </c>
      <c r="F33" s="4"/>
      <c r="G33" s="4"/>
      <c r="H33" s="4"/>
      <c r="I33" s="8"/>
      <c r="J33" s="6" t="s">
        <v>7</v>
      </c>
      <c r="K33" s="6" t="s">
        <v>8</v>
      </c>
      <c r="L33" s="6" t="s">
        <v>9</v>
      </c>
      <c r="M33" s="6" t="s">
        <v>10</v>
      </c>
      <c r="N33" s="6" t="s">
        <v>11</v>
      </c>
      <c r="O33" s="6" t="s">
        <v>12</v>
      </c>
    </row>
    <row r="34">
      <c r="A34" s="8"/>
      <c r="B34" s="8"/>
      <c r="C34" s="8"/>
      <c r="D34" s="8"/>
      <c r="E34" s="9" t="s">
        <v>13</v>
      </c>
      <c r="F34" s="9" t="s">
        <v>14</v>
      </c>
      <c r="G34" s="9" t="s">
        <v>15</v>
      </c>
      <c r="H34" s="9" t="s">
        <v>16</v>
      </c>
      <c r="I34" s="9" t="s">
        <v>17</v>
      </c>
      <c r="J34" s="8"/>
      <c r="K34" s="8"/>
      <c r="L34" s="8"/>
      <c r="M34" s="8"/>
      <c r="N34" s="8"/>
      <c r="O34" s="8"/>
    </row>
    <row r="35">
      <c r="A35" s="10">
        <v>100.0</v>
      </c>
      <c r="B35" s="11" t="s">
        <v>18</v>
      </c>
      <c r="C35" s="11" t="s">
        <v>19</v>
      </c>
      <c r="D35" s="19">
        <v>9.025E8</v>
      </c>
      <c r="E35" s="12">
        <v>1.1958347746E8</v>
      </c>
      <c r="F35" s="12">
        <f>153309674.49+15082903.18</f>
        <v>168392577.7</v>
      </c>
      <c r="G35" s="12">
        <f>141096633.61+27843552.27 
</f>
        <v>168940185.9</v>
      </c>
      <c r="H35" s="13">
        <f>167939195.57+27664801.01</f>
        <v>195603996.6</v>
      </c>
      <c r="I35" s="13">
        <v>2.6361259787E8</v>
      </c>
      <c r="J35" s="14">
        <f t="shared" ref="J35:J37" si="15">SUM(E35:I35)</f>
        <v>916132835.5</v>
      </c>
      <c r="K35" s="15">
        <f t="shared" ref="K35:K38" si="16">J35/D35</f>
        <v>1.015105635</v>
      </c>
      <c r="L35" s="16">
        <f t="shared" ref="L35:L37" si="17">J35/O35*N35</f>
        <v>916132835.5</v>
      </c>
      <c r="M35" s="59">
        <f t="shared" ref="M35:M37" si="18">L35/D35</f>
        <v>1.015105635</v>
      </c>
      <c r="N35" s="18">
        <v>22.0</v>
      </c>
      <c r="O35" s="19">
        <v>22.0</v>
      </c>
      <c r="P35" s="20" t="s">
        <v>157</v>
      </c>
    </row>
    <row r="36">
      <c r="A36" s="10">
        <v>6.0</v>
      </c>
      <c r="B36" s="11" t="s">
        <v>21</v>
      </c>
      <c r="C36" s="11" t="s">
        <v>19</v>
      </c>
      <c r="D36" s="19">
        <v>7.2E7</v>
      </c>
      <c r="E36" s="12">
        <v>1.221120369E7</v>
      </c>
      <c r="F36" s="12">
        <v>1.648048186E7</v>
      </c>
      <c r="G36" s="12">
        <f>10786776.92+976424.38</f>
        <v>11763201.3</v>
      </c>
      <c r="H36" s="13">
        <f>12252345.16+4162495.35 </f>
        <v>16414840.51</v>
      </c>
      <c r="I36" s="12">
        <v>1.742453521E7</v>
      </c>
      <c r="J36" s="14">
        <f t="shared" si="15"/>
        <v>74294262.57</v>
      </c>
      <c r="K36" s="15">
        <f t="shared" si="16"/>
        <v>1.031864758</v>
      </c>
      <c r="L36" s="16">
        <f t="shared" si="17"/>
        <v>74294262.57</v>
      </c>
      <c r="M36" s="59">
        <f t="shared" si="18"/>
        <v>1.031864758</v>
      </c>
      <c r="N36" s="18">
        <v>22.0</v>
      </c>
      <c r="O36" s="19">
        <v>22.0</v>
      </c>
      <c r="P36" s="20" t="s">
        <v>157</v>
      </c>
    </row>
    <row r="37">
      <c r="A37" s="10">
        <v>64.0</v>
      </c>
      <c r="B37" s="10" t="s">
        <v>22</v>
      </c>
      <c r="C37" s="11" t="s">
        <v>19</v>
      </c>
      <c r="D37" s="19">
        <v>4.65E8</v>
      </c>
      <c r="E37" s="12">
        <v>2.6757E7</v>
      </c>
      <c r="F37" s="12">
        <v>7.27435E7</v>
      </c>
      <c r="G37" s="12">
        <v>1.025146E8</v>
      </c>
      <c r="H37" s="12">
        <v>9.6061499E7</v>
      </c>
      <c r="I37" s="12">
        <v>5.7855E7</v>
      </c>
      <c r="J37" s="14">
        <f t="shared" si="15"/>
        <v>355931599</v>
      </c>
      <c r="K37" s="15">
        <f t="shared" si="16"/>
        <v>0.7654442989</v>
      </c>
      <c r="L37" s="16">
        <f t="shared" si="17"/>
        <v>355931599</v>
      </c>
      <c r="M37" s="59">
        <f t="shared" si="18"/>
        <v>0.7654442989</v>
      </c>
      <c r="N37" s="18">
        <v>22.0</v>
      </c>
      <c r="O37" s="19">
        <v>22.0</v>
      </c>
      <c r="P37" s="20" t="s">
        <v>157</v>
      </c>
    </row>
    <row r="38">
      <c r="A38" s="10">
        <v>2.0</v>
      </c>
      <c r="B38" s="10" t="s">
        <v>24</v>
      </c>
      <c r="C38" s="10" t="s">
        <v>68</v>
      </c>
      <c r="D38" s="21">
        <v>1.0</v>
      </c>
      <c r="E38" s="21"/>
      <c r="F38" s="21">
        <v>1.75</v>
      </c>
      <c r="G38" s="21">
        <v>1.75</v>
      </c>
      <c r="H38" s="21">
        <v>1.75</v>
      </c>
      <c r="I38" s="21">
        <v>1.82</v>
      </c>
      <c r="J38" s="57">
        <f t="shared" ref="J38:J39" si="19">I38</f>
        <v>1.82</v>
      </c>
      <c r="K38" s="15">
        <f t="shared" si="16"/>
        <v>1.82</v>
      </c>
      <c r="L38" s="58">
        <f>K38</f>
        <v>1.82</v>
      </c>
      <c r="M38" s="59">
        <f t="shared" ref="M38:M39" si="21">K38</f>
        <v>1.82</v>
      </c>
      <c r="N38" s="18">
        <v>22.0</v>
      </c>
      <c r="O38" s="19">
        <v>22.0</v>
      </c>
      <c r="P38" s="20" t="s">
        <v>157</v>
      </c>
    </row>
    <row r="39">
      <c r="A39" s="10">
        <v>10.0</v>
      </c>
      <c r="B39" s="10" t="s">
        <v>25</v>
      </c>
      <c r="C39" s="11" t="s">
        <v>26</v>
      </c>
      <c r="D39" s="21">
        <v>1.0</v>
      </c>
      <c r="E39" s="21">
        <v>0.7079</v>
      </c>
      <c r="F39" s="21">
        <v>0.8079</v>
      </c>
      <c r="G39" s="21">
        <v>0.8935</v>
      </c>
      <c r="H39" s="21">
        <v>1.0555</v>
      </c>
      <c r="I39" s="21">
        <v>1.1518</v>
      </c>
      <c r="J39" s="57">
        <f t="shared" si="19"/>
        <v>1.1518</v>
      </c>
      <c r="K39" s="15">
        <f t="shared" ref="K39:L39" si="20">J39</f>
        <v>1.1518</v>
      </c>
      <c r="L39" s="58">
        <f t="shared" si="20"/>
        <v>1.1518</v>
      </c>
      <c r="M39" s="59">
        <f t="shared" si="21"/>
        <v>1.1518</v>
      </c>
      <c r="N39" s="18">
        <v>22.0</v>
      </c>
      <c r="O39" s="19">
        <v>22.0</v>
      </c>
      <c r="P39" s="20" t="s">
        <v>157</v>
      </c>
    </row>
    <row r="40">
      <c r="A40" s="10">
        <v>21.0</v>
      </c>
      <c r="B40" s="10" t="s">
        <v>27</v>
      </c>
      <c r="C40" s="10" t="s">
        <v>109</v>
      </c>
      <c r="D40" s="19">
        <v>1120.0</v>
      </c>
      <c r="E40" s="18">
        <v>219.0</v>
      </c>
      <c r="F40" s="18">
        <v>437.0</v>
      </c>
      <c r="G40" s="18">
        <v>544.0</v>
      </c>
      <c r="H40" s="18">
        <v>313.0</v>
      </c>
      <c r="I40" s="29"/>
      <c r="J40" s="45">
        <f t="shared" ref="J40:J42" si="22">sum(E40:I40)</f>
        <v>1513</v>
      </c>
      <c r="K40" s="15">
        <f t="shared" ref="K40:K55" si="23">J40/D40</f>
        <v>1.350892857</v>
      </c>
      <c r="L40" s="16">
        <f t="shared" ref="L40:L45" si="24">J40/O40*N40</f>
        <v>1513</v>
      </c>
      <c r="M40" s="59">
        <f t="shared" ref="M40:M53" si="25">L40/D40</f>
        <v>1.350892857</v>
      </c>
      <c r="N40" s="62">
        <v>22.0</v>
      </c>
      <c r="O40" s="63">
        <v>22.0</v>
      </c>
      <c r="P40" s="20" t="s">
        <v>166</v>
      </c>
    </row>
    <row r="41">
      <c r="A41" s="10">
        <v>15.0</v>
      </c>
      <c r="B41" s="10" t="s">
        <v>29</v>
      </c>
      <c r="C41" s="10" t="s">
        <v>110</v>
      </c>
      <c r="D41" s="12">
        <v>1.334E7</v>
      </c>
      <c r="E41" s="19">
        <v>261000.0</v>
      </c>
      <c r="F41" s="12">
        <v>1460000.0</v>
      </c>
      <c r="G41" s="19">
        <v>1692000.0</v>
      </c>
      <c r="H41" s="19">
        <v>1536000.0</v>
      </c>
      <c r="I41" s="19"/>
      <c r="J41" s="30">
        <f t="shared" si="22"/>
        <v>4949000</v>
      </c>
      <c r="K41" s="15">
        <f t="shared" si="23"/>
        <v>0.3709895052</v>
      </c>
      <c r="L41" s="16">
        <f t="shared" si="24"/>
        <v>6404588.235</v>
      </c>
      <c r="M41" s="59">
        <f t="shared" si="25"/>
        <v>0.4801040656</v>
      </c>
      <c r="N41" s="62">
        <v>22.0</v>
      </c>
      <c r="O41" s="63">
        <v>17.0</v>
      </c>
      <c r="P41" s="20" t="s">
        <v>167</v>
      </c>
    </row>
    <row r="42">
      <c r="A42" s="10">
        <v>35.0</v>
      </c>
      <c r="B42" s="10" t="s">
        <v>31</v>
      </c>
      <c r="C42" s="10" t="s">
        <v>109</v>
      </c>
      <c r="D42" s="12">
        <f t="shared" ref="D42:I42" si="26">D14</f>
        <v>432130192</v>
      </c>
      <c r="E42" s="12">
        <f t="shared" si="26"/>
        <v>82615926</v>
      </c>
      <c r="F42" s="12">
        <f t="shared" si="26"/>
        <v>77111461</v>
      </c>
      <c r="G42" s="12">
        <f t="shared" si="26"/>
        <v>60425420</v>
      </c>
      <c r="H42" s="12">
        <f t="shared" si="26"/>
        <v>64784291</v>
      </c>
      <c r="I42" s="12">
        <f t="shared" si="26"/>
        <v>36152842</v>
      </c>
      <c r="J42" s="14">
        <f t="shared" si="22"/>
        <v>321089940</v>
      </c>
      <c r="K42" s="15">
        <f t="shared" si="23"/>
        <v>0.7430398198</v>
      </c>
      <c r="L42" s="16">
        <f t="shared" si="24"/>
        <v>321089940</v>
      </c>
      <c r="M42" s="59">
        <f t="shared" si="25"/>
        <v>0.7430398198</v>
      </c>
      <c r="N42" s="70">
        <f t="shared" ref="N42:P42" si="27">N14</f>
        <v>22</v>
      </c>
      <c r="O42" s="82">
        <f t="shared" si="27"/>
        <v>22</v>
      </c>
      <c r="P42" s="93" t="str">
        <f t="shared" si="27"/>
        <v>as of October 30, 2025- FINAL UNOFFICIAL</v>
      </c>
    </row>
    <row r="43">
      <c r="A43" s="10">
        <v>102.0</v>
      </c>
      <c r="B43" s="11" t="s">
        <v>32</v>
      </c>
      <c r="C43" s="10" t="s">
        <v>76</v>
      </c>
      <c r="D43" s="19">
        <f t="shared" ref="D43:H43" si="28">D15</f>
        <v>17538</v>
      </c>
      <c r="E43" s="18">
        <f t="shared" si="28"/>
        <v>3703</v>
      </c>
      <c r="F43" s="18">
        <f t="shared" si="28"/>
        <v>2767</v>
      </c>
      <c r="G43" s="18">
        <f t="shared" si="28"/>
        <v>3553</v>
      </c>
      <c r="H43" s="18">
        <f t="shared" si="28"/>
        <v>1334</v>
      </c>
      <c r="I43" s="18"/>
      <c r="J43" s="45">
        <f t="shared" ref="J43:J53" si="31">SUM(E43:I43)</f>
        <v>11357</v>
      </c>
      <c r="K43" s="15">
        <f t="shared" si="23"/>
        <v>0.6475652868</v>
      </c>
      <c r="L43" s="16">
        <f t="shared" si="24"/>
        <v>11357</v>
      </c>
      <c r="M43" s="59">
        <f t="shared" si="25"/>
        <v>0.6475652868</v>
      </c>
      <c r="N43" s="62">
        <f t="shared" ref="N43:P43" si="29">N15</f>
        <v>22</v>
      </c>
      <c r="O43" s="63">
        <f t="shared" si="29"/>
        <v>22</v>
      </c>
      <c r="P43" s="64" t="str">
        <f t="shared" si="29"/>
        <v>As of Oct 30, 2025</v>
      </c>
    </row>
    <row r="44">
      <c r="A44" s="10">
        <v>5.0</v>
      </c>
      <c r="B44" s="10" t="s">
        <v>154</v>
      </c>
      <c r="C44" s="10" t="s">
        <v>76</v>
      </c>
      <c r="D44" s="19">
        <f t="shared" ref="D44:H44" si="30">D16</f>
        <v>1488</v>
      </c>
      <c r="E44" s="18">
        <f t="shared" si="30"/>
        <v>90</v>
      </c>
      <c r="F44" s="18">
        <f t="shared" si="30"/>
        <v>137</v>
      </c>
      <c r="G44" s="18">
        <f t="shared" si="30"/>
        <v>169</v>
      </c>
      <c r="H44" s="18" t="str">
        <f t="shared" si="30"/>
        <v/>
      </c>
      <c r="I44" s="18"/>
      <c r="J44" s="45">
        <f t="shared" si="31"/>
        <v>396</v>
      </c>
      <c r="K44" s="15">
        <f t="shared" si="23"/>
        <v>0.2661290323</v>
      </c>
      <c r="L44" s="16">
        <f t="shared" si="24"/>
        <v>396</v>
      </c>
      <c r="M44" s="59">
        <f t="shared" si="25"/>
        <v>0.2661290323</v>
      </c>
      <c r="N44" s="18">
        <f t="shared" ref="N44:N50" si="34">N16</f>
        <v>22</v>
      </c>
      <c r="O44" s="63">
        <f t="shared" ref="O44:P44" si="32">O43</f>
        <v>22</v>
      </c>
      <c r="P44" s="64" t="str">
        <f t="shared" si="32"/>
        <v>As of Oct 30, 2025</v>
      </c>
    </row>
    <row r="45">
      <c r="A45" s="10">
        <v>13.0</v>
      </c>
      <c r="B45" s="10" t="s">
        <v>118</v>
      </c>
      <c r="C45" s="10" t="s">
        <v>76</v>
      </c>
      <c r="D45" s="19">
        <v>1677.0</v>
      </c>
      <c r="E45" s="18">
        <f t="shared" ref="E45:H45" si="33">E17</f>
        <v>436</v>
      </c>
      <c r="F45" s="18">
        <f t="shared" si="33"/>
        <v>474</v>
      </c>
      <c r="G45" s="18">
        <f t="shared" si="33"/>
        <v>638</v>
      </c>
      <c r="H45" s="18" t="str">
        <f t="shared" si="33"/>
        <v/>
      </c>
      <c r="I45" s="18"/>
      <c r="J45" s="45">
        <f t="shared" si="31"/>
        <v>1548</v>
      </c>
      <c r="K45" s="15">
        <f t="shared" si="23"/>
        <v>0.9230769231</v>
      </c>
      <c r="L45" s="16">
        <f t="shared" si="24"/>
        <v>1548</v>
      </c>
      <c r="M45" s="59">
        <f t="shared" si="25"/>
        <v>0.9230769231</v>
      </c>
      <c r="N45" s="18">
        <f t="shared" si="34"/>
        <v>22</v>
      </c>
      <c r="O45" s="63">
        <f t="shared" ref="O45:P45" si="35">O44</f>
        <v>22</v>
      </c>
      <c r="P45" s="64" t="str">
        <f t="shared" si="35"/>
        <v>As of Oct 30, 2025</v>
      </c>
    </row>
    <row r="46">
      <c r="A46" s="10">
        <f t="shared" ref="A46:A49" si="38">A18</f>
        <v>39</v>
      </c>
      <c r="B46" s="11" t="s">
        <v>35</v>
      </c>
      <c r="C46" s="11" t="s">
        <v>19</v>
      </c>
      <c r="D46" s="19">
        <f t="shared" ref="D46:I46" si="36">D18</f>
        <v>496860000</v>
      </c>
      <c r="E46" s="19">
        <f t="shared" si="36"/>
        <v>137707000</v>
      </c>
      <c r="F46" s="19">
        <f t="shared" si="36"/>
        <v>263748100</v>
      </c>
      <c r="G46" s="19">
        <f t="shared" si="36"/>
        <v>221798671</v>
      </c>
      <c r="H46" s="19">
        <f t="shared" si="36"/>
        <v>228702035</v>
      </c>
      <c r="I46" s="46">
        <f t="shared" si="36"/>
        <v>183167500</v>
      </c>
      <c r="J46" s="30">
        <f t="shared" si="31"/>
        <v>1035123306</v>
      </c>
      <c r="K46" s="15">
        <f t="shared" si="23"/>
        <v>2.083329924</v>
      </c>
      <c r="L46" s="16">
        <f t="shared" ref="L46:L49" si="40">L18</f>
        <v>1035123306</v>
      </c>
      <c r="M46" s="59">
        <f t="shared" si="25"/>
        <v>2.083329924</v>
      </c>
      <c r="N46" s="18">
        <f t="shared" si="34"/>
        <v>22</v>
      </c>
      <c r="O46" s="63">
        <f t="shared" ref="O46:P46" si="37">O18</f>
        <v>22</v>
      </c>
      <c r="P46" s="68" t="str">
        <f t="shared" si="37"/>
        <v>as of October 30, 2025</v>
      </c>
    </row>
    <row r="47">
      <c r="A47" s="10">
        <f t="shared" si="38"/>
        <v>5</v>
      </c>
      <c r="B47" s="11" t="s">
        <v>37</v>
      </c>
      <c r="C47" s="11" t="s">
        <v>19</v>
      </c>
      <c r="D47" s="19">
        <f t="shared" ref="D47:I47" si="39">D19</f>
        <v>800</v>
      </c>
      <c r="E47" s="19">
        <f t="shared" si="39"/>
        <v>57</v>
      </c>
      <c r="F47" s="19">
        <f t="shared" si="39"/>
        <v>144</v>
      </c>
      <c r="G47" s="19">
        <f t="shared" si="39"/>
        <v>143</v>
      </c>
      <c r="H47" s="19">
        <f t="shared" si="39"/>
        <v>221</v>
      </c>
      <c r="I47" s="46">
        <f t="shared" si="39"/>
        <v>126</v>
      </c>
      <c r="J47" s="30">
        <f t="shared" si="31"/>
        <v>691</v>
      </c>
      <c r="K47" s="15">
        <f t="shared" si="23"/>
        <v>0.86375</v>
      </c>
      <c r="L47" s="16">
        <f t="shared" si="40"/>
        <v>691</v>
      </c>
      <c r="M47" s="59">
        <f t="shared" si="25"/>
        <v>0.86375</v>
      </c>
      <c r="N47" s="18">
        <f t="shared" si="34"/>
        <v>23</v>
      </c>
      <c r="O47" s="18">
        <f t="shared" ref="O47:P47" si="41">O19</f>
        <v>23</v>
      </c>
      <c r="P47" s="68" t="str">
        <f t="shared" si="41"/>
        <v>as of October 30, 2025</v>
      </c>
    </row>
    <row r="48">
      <c r="A48" s="10">
        <f t="shared" si="38"/>
        <v>10</v>
      </c>
      <c r="B48" s="11" t="s">
        <v>38</v>
      </c>
      <c r="C48" s="11" t="s">
        <v>19</v>
      </c>
      <c r="D48" s="19">
        <f t="shared" ref="D48:I48" si="42">D20</f>
        <v>2750</v>
      </c>
      <c r="E48" s="19">
        <f t="shared" si="42"/>
        <v>559</v>
      </c>
      <c r="F48" s="19">
        <f t="shared" si="42"/>
        <v>376</v>
      </c>
      <c r="G48" s="19">
        <f t="shared" si="42"/>
        <v>372</v>
      </c>
      <c r="H48" s="19">
        <f t="shared" si="42"/>
        <v>473</v>
      </c>
      <c r="I48" s="46">
        <f t="shared" si="42"/>
        <v>341</v>
      </c>
      <c r="J48" s="30">
        <f t="shared" si="31"/>
        <v>2121</v>
      </c>
      <c r="K48" s="15">
        <f t="shared" si="23"/>
        <v>0.7712727273</v>
      </c>
      <c r="L48" s="16">
        <f t="shared" si="40"/>
        <v>2121</v>
      </c>
      <c r="M48" s="59">
        <f t="shared" si="25"/>
        <v>0.7712727273</v>
      </c>
      <c r="N48" s="18">
        <f t="shared" si="34"/>
        <v>23</v>
      </c>
      <c r="O48" s="18">
        <f t="shared" ref="O48:P48" si="43">O20</f>
        <v>23</v>
      </c>
      <c r="P48" s="68" t="str">
        <f t="shared" si="43"/>
        <v>as of October 30, 2025</v>
      </c>
    </row>
    <row r="49">
      <c r="A49" s="10">
        <f t="shared" si="38"/>
        <v>25</v>
      </c>
      <c r="B49" s="10" t="s">
        <v>39</v>
      </c>
      <c r="C49" s="11" t="s">
        <v>19</v>
      </c>
      <c r="D49" s="19">
        <f t="shared" ref="D49:I49" si="44">D21</f>
        <v>4620</v>
      </c>
      <c r="E49" s="19">
        <f t="shared" si="44"/>
        <v>372</v>
      </c>
      <c r="F49" s="19">
        <f t="shared" si="44"/>
        <v>850</v>
      </c>
      <c r="G49" s="19">
        <f t="shared" si="44"/>
        <v>1561</v>
      </c>
      <c r="H49" s="19">
        <f t="shared" si="44"/>
        <v>1297</v>
      </c>
      <c r="I49" s="46">
        <f t="shared" si="44"/>
        <v>1147</v>
      </c>
      <c r="J49" s="30">
        <f t="shared" si="31"/>
        <v>5227</v>
      </c>
      <c r="K49" s="15">
        <f t="shared" si="23"/>
        <v>1.131385281</v>
      </c>
      <c r="L49" s="16">
        <f t="shared" si="40"/>
        <v>5227</v>
      </c>
      <c r="M49" s="59">
        <f t="shared" si="25"/>
        <v>1.131385281</v>
      </c>
      <c r="N49" s="18">
        <f t="shared" si="34"/>
        <v>23</v>
      </c>
      <c r="O49" s="18">
        <f t="shared" ref="O49:P49" si="45">O21</f>
        <v>23</v>
      </c>
      <c r="P49" s="68" t="str">
        <f t="shared" si="45"/>
        <v>as of October 30, 2025</v>
      </c>
    </row>
    <row r="50">
      <c r="A50" s="10">
        <v>20.0</v>
      </c>
      <c r="B50" s="10" t="s">
        <v>77</v>
      </c>
      <c r="C50" s="11" t="s">
        <v>19</v>
      </c>
      <c r="D50" s="12">
        <v>270.0</v>
      </c>
      <c r="E50" s="19">
        <v>9.0</v>
      </c>
      <c r="F50" s="29">
        <v>109.0</v>
      </c>
      <c r="G50" s="29">
        <v>62.0</v>
      </c>
      <c r="H50" s="29">
        <v>57.0</v>
      </c>
      <c r="I50" s="29">
        <v>22.0</v>
      </c>
      <c r="J50" s="30">
        <f t="shared" si="31"/>
        <v>259</v>
      </c>
      <c r="K50" s="15">
        <f t="shared" si="23"/>
        <v>0.9592592593</v>
      </c>
      <c r="L50" s="16">
        <f t="shared" ref="L50:L53" si="47">J50/O50*N50</f>
        <v>259</v>
      </c>
      <c r="M50" s="59">
        <f t="shared" si="25"/>
        <v>0.9592592593</v>
      </c>
      <c r="N50" s="18">
        <f t="shared" si="34"/>
        <v>22</v>
      </c>
      <c r="O50" s="18">
        <f t="shared" ref="O50:P50" si="46">O22</f>
        <v>22</v>
      </c>
      <c r="P50" s="86" t="str">
        <f t="shared" si="46"/>
        <v>As of October 30, 2025- FINAL</v>
      </c>
    </row>
    <row r="51">
      <c r="A51" s="10">
        <v>21.0</v>
      </c>
      <c r="B51" s="10" t="s">
        <v>73</v>
      </c>
      <c r="C51" s="11" t="s">
        <v>19</v>
      </c>
      <c r="D51" s="12">
        <v>1636.0</v>
      </c>
      <c r="E51" s="19">
        <v>248.0</v>
      </c>
      <c r="F51" s="29">
        <v>58.0</v>
      </c>
      <c r="G51" s="29">
        <v>250.0</v>
      </c>
      <c r="H51" s="87">
        <v>706.0</v>
      </c>
      <c r="I51" s="88">
        <v>615.0</v>
      </c>
      <c r="J51" s="30">
        <f t="shared" si="31"/>
        <v>1877</v>
      </c>
      <c r="K51" s="15">
        <f t="shared" si="23"/>
        <v>1.147310513</v>
      </c>
      <c r="L51" s="16">
        <f t="shared" si="47"/>
        <v>1877</v>
      </c>
      <c r="M51" s="59">
        <f t="shared" si="25"/>
        <v>1.147310513</v>
      </c>
      <c r="N51" s="18">
        <v>22.0</v>
      </c>
      <c r="O51" s="18">
        <v>22.0</v>
      </c>
      <c r="P51" s="20" t="s">
        <v>157</v>
      </c>
    </row>
    <row r="52">
      <c r="A52" s="10">
        <v>5.0</v>
      </c>
      <c r="B52" s="10" t="s">
        <v>134</v>
      </c>
      <c r="C52" s="11" t="s">
        <v>19</v>
      </c>
      <c r="D52" s="12">
        <v>4.4E7</v>
      </c>
      <c r="E52" s="12">
        <v>2250300.0</v>
      </c>
      <c r="F52" s="12">
        <v>5334545.0</v>
      </c>
      <c r="G52" s="12">
        <v>2541869.0</v>
      </c>
      <c r="H52" s="94">
        <v>3656300.0</v>
      </c>
      <c r="I52" s="94">
        <v>4777500.0</v>
      </c>
      <c r="J52" s="14">
        <f t="shared" si="31"/>
        <v>18560514</v>
      </c>
      <c r="K52" s="15">
        <f t="shared" si="23"/>
        <v>0.4218298636</v>
      </c>
      <c r="L52" s="95">
        <f t="shared" si="47"/>
        <v>18560514</v>
      </c>
      <c r="M52" s="59">
        <f t="shared" si="25"/>
        <v>0.4218298636</v>
      </c>
      <c r="N52" s="18">
        <v>22.0</v>
      </c>
      <c r="O52" s="18">
        <v>22.0</v>
      </c>
      <c r="P52" s="20" t="s">
        <v>157</v>
      </c>
    </row>
    <row r="53">
      <c r="A53" s="10">
        <v>3.0</v>
      </c>
      <c r="B53" s="10" t="s">
        <v>43</v>
      </c>
      <c r="C53" s="11" t="s">
        <v>19</v>
      </c>
      <c r="D53" s="12">
        <v>30.0</v>
      </c>
      <c r="E53" s="12">
        <v>5.0</v>
      </c>
      <c r="F53" s="12">
        <v>7.0</v>
      </c>
      <c r="G53" s="12">
        <v>9.0</v>
      </c>
      <c r="H53" s="12">
        <v>9.0</v>
      </c>
      <c r="I53" s="12">
        <v>10.0</v>
      </c>
      <c r="J53" s="14">
        <f t="shared" si="31"/>
        <v>40</v>
      </c>
      <c r="K53" s="15">
        <f t="shared" si="23"/>
        <v>1.333333333</v>
      </c>
      <c r="L53" s="16">
        <f t="shared" si="47"/>
        <v>40</v>
      </c>
      <c r="M53" s="59">
        <f t="shared" si="25"/>
        <v>1.333333333</v>
      </c>
      <c r="N53" s="18">
        <v>22.0</v>
      </c>
      <c r="O53" s="18">
        <f t="shared" ref="O53:P53" si="48">O25</f>
        <v>22</v>
      </c>
      <c r="P53" s="86" t="str">
        <f t="shared" si="48"/>
        <v>As of October 30, 2025 - FINAL</v>
      </c>
    </row>
    <row r="54">
      <c r="A54" s="10">
        <v>45.0</v>
      </c>
      <c r="B54" s="10" t="s">
        <v>44</v>
      </c>
      <c r="C54" s="11" t="s">
        <v>19</v>
      </c>
      <c r="D54" s="21">
        <v>0.85</v>
      </c>
      <c r="E54" s="21">
        <v>0.9433</v>
      </c>
      <c r="F54" s="24">
        <v>0.89</v>
      </c>
      <c r="G54" s="24">
        <v>0.9</v>
      </c>
      <c r="H54" s="24">
        <v>0.88</v>
      </c>
      <c r="I54" s="24">
        <v>0.89</v>
      </c>
      <c r="J54" s="57">
        <f>I54</f>
        <v>0.89</v>
      </c>
      <c r="K54" s="15">
        <f t="shared" si="23"/>
        <v>1.047058824</v>
      </c>
      <c r="L54" s="15">
        <f t="shared" ref="L54:L55" si="51">K54</f>
        <v>1.047058824</v>
      </c>
      <c r="M54" s="59">
        <f t="shared" ref="M54:M55" si="52">K54</f>
        <v>1.047058824</v>
      </c>
      <c r="N54" s="18">
        <f t="shared" ref="N54:P54" si="49">N26</f>
        <v>31</v>
      </c>
      <c r="O54" s="18">
        <f t="shared" si="49"/>
        <v>31</v>
      </c>
      <c r="P54" s="86" t="str">
        <f t="shared" si="49"/>
        <v>As of October 30, 2025 - FINAL</v>
      </c>
    </row>
    <row r="55">
      <c r="A55" s="10">
        <v>69.0</v>
      </c>
      <c r="B55" s="10" t="s">
        <v>120</v>
      </c>
      <c r="C55" s="10" t="s">
        <v>121</v>
      </c>
      <c r="D55" s="21">
        <f t="shared" ref="D55:J55" si="50">D27</f>
        <v>0.85</v>
      </c>
      <c r="E55" s="23">
        <f t="shared" si="50"/>
        <v>0.7795</v>
      </c>
      <c r="F55" s="23">
        <f t="shared" si="50"/>
        <v>0.7189</v>
      </c>
      <c r="G55" s="23">
        <f t="shared" si="50"/>
        <v>0.76</v>
      </c>
      <c r="H55" s="23">
        <f t="shared" si="50"/>
        <v>0.7856</v>
      </c>
      <c r="I55" s="23" t="str">
        <f t="shared" si="50"/>
        <v/>
      </c>
      <c r="J55" s="23">
        <f t="shared" si="50"/>
        <v>0.7856</v>
      </c>
      <c r="K55" s="15">
        <f t="shared" si="23"/>
        <v>0.9242352941</v>
      </c>
      <c r="L55" s="15">
        <f t="shared" si="51"/>
        <v>0.9242352941</v>
      </c>
      <c r="M55" s="59">
        <f t="shared" si="52"/>
        <v>0.9242352941</v>
      </c>
      <c r="N55" s="19">
        <f t="shared" ref="N55:P55" si="53">N27</f>
        <v>23</v>
      </c>
      <c r="O55" s="19">
        <f t="shared" si="53"/>
        <v>23</v>
      </c>
      <c r="P55" s="101" t="str">
        <f t="shared" si="53"/>
        <v>as of October 30, 2025</v>
      </c>
    </row>
    <row r="56">
      <c r="A56" s="35"/>
      <c r="B56" s="35"/>
      <c r="C56" s="35"/>
      <c r="D56" s="38"/>
      <c r="E56" s="38"/>
      <c r="F56" s="38"/>
      <c r="G56" s="38"/>
      <c r="H56" s="38"/>
      <c r="I56" s="38"/>
      <c r="J56" s="38"/>
      <c r="K56" s="38"/>
      <c r="L56" s="38"/>
      <c r="M56" s="74"/>
      <c r="N56" s="38"/>
      <c r="O56" s="38"/>
    </row>
    <row r="57">
      <c r="A57" s="35"/>
      <c r="B57" s="35"/>
      <c r="C57" s="35"/>
      <c r="D57" s="38"/>
      <c r="E57" s="38"/>
      <c r="F57" s="36"/>
      <c r="G57" s="38"/>
      <c r="H57" s="38"/>
      <c r="I57" s="38"/>
      <c r="J57" s="55"/>
      <c r="K57" s="56"/>
      <c r="L57" s="38"/>
      <c r="M57" s="38"/>
      <c r="N57" s="38"/>
      <c r="O57" s="38"/>
    </row>
    <row r="58">
      <c r="A58" s="35"/>
      <c r="B58" s="35"/>
      <c r="C58" s="35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</row>
    <row r="59">
      <c r="A59" s="35"/>
      <c r="C59" s="35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</row>
    <row r="60">
      <c r="A60" s="35"/>
      <c r="B60" s="35"/>
      <c r="C60" s="35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</row>
    <row r="61">
      <c r="A61" s="35"/>
      <c r="B61" s="35"/>
      <c r="C61" s="35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</row>
    <row r="62">
      <c r="A62" s="35"/>
      <c r="B62" s="35"/>
      <c r="C62" s="35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</row>
    <row r="63">
      <c r="A63" s="35"/>
      <c r="B63" s="35"/>
      <c r="C63" s="35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</row>
    <row r="64">
      <c r="A64" s="35"/>
      <c r="B64" s="35"/>
      <c r="C64" s="35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</row>
    <row r="65">
      <c r="A65" s="35"/>
      <c r="B65" s="35"/>
      <c r="C65" s="35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</row>
    <row r="66">
      <c r="A66" s="35"/>
      <c r="B66" s="35"/>
      <c r="C66" s="35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</row>
    <row r="67">
      <c r="A67" s="35"/>
      <c r="B67" s="35"/>
      <c r="C67" s="35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</row>
    <row r="68">
      <c r="A68" s="35"/>
      <c r="B68" s="35"/>
      <c r="C68" s="35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</row>
    <row r="69">
      <c r="A69" s="35"/>
      <c r="B69" s="35"/>
      <c r="C69" s="35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</row>
    <row r="70">
      <c r="A70" s="35"/>
      <c r="B70" s="35"/>
      <c r="C70" s="35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</row>
    <row r="71">
      <c r="A71" s="35"/>
      <c r="B71" s="35"/>
      <c r="C71" s="35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</row>
    <row r="72">
      <c r="A72" s="35"/>
      <c r="B72" s="35"/>
      <c r="C72" s="35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</row>
    <row r="73">
      <c r="A73" s="35"/>
      <c r="B73" s="35"/>
      <c r="C73" s="35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</row>
    <row r="74">
      <c r="A74" s="35"/>
      <c r="B74" s="35"/>
      <c r="C74" s="35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</row>
    <row r="75">
      <c r="A75" s="35"/>
      <c r="B75" s="35"/>
      <c r="C75" s="35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</row>
    <row r="76">
      <c r="A76" s="35"/>
      <c r="B76" s="35"/>
      <c r="C76" s="35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</row>
    <row r="77">
      <c r="A77" s="35"/>
      <c r="B77" s="35"/>
      <c r="C77" s="35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</row>
    <row r="78">
      <c r="A78" s="35"/>
      <c r="B78" s="35"/>
      <c r="C78" s="35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</row>
    <row r="79">
      <c r="A79" s="35"/>
      <c r="B79" s="35"/>
      <c r="C79" s="35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</row>
    <row r="80">
      <c r="A80" s="35"/>
      <c r="B80" s="35"/>
      <c r="C80" s="35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</row>
    <row r="81">
      <c r="A81" s="35"/>
      <c r="B81" s="35"/>
      <c r="C81" s="35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</row>
    <row r="82">
      <c r="A82" s="35"/>
      <c r="B82" s="35"/>
      <c r="C82" s="35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</row>
    <row r="83">
      <c r="A83" s="35"/>
      <c r="B83" s="35"/>
      <c r="C83" s="35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</row>
    <row r="84">
      <c r="A84" s="35"/>
      <c r="B84" s="35"/>
      <c r="C84" s="35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</row>
    <row r="85">
      <c r="A85" s="35"/>
      <c r="B85" s="35"/>
      <c r="C85" s="35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</row>
    <row r="86">
      <c r="A86" s="35"/>
      <c r="B86" s="35"/>
      <c r="C86" s="35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</row>
    <row r="87">
      <c r="A87" s="35"/>
      <c r="B87" s="35"/>
      <c r="C87" s="35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</row>
    <row r="88">
      <c r="A88" s="35"/>
      <c r="B88" s="35"/>
      <c r="C88" s="35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</row>
    <row r="89">
      <c r="A89" s="35"/>
      <c r="B89" s="35"/>
      <c r="C89" s="35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</row>
    <row r="90">
      <c r="A90" s="35"/>
      <c r="B90" s="35"/>
      <c r="C90" s="35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</row>
    <row r="91">
      <c r="A91" s="35"/>
      <c r="B91" s="35"/>
      <c r="C91" s="35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</row>
    <row r="92">
      <c r="A92" s="35"/>
      <c r="B92" s="35"/>
      <c r="C92" s="35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</row>
    <row r="93">
      <c r="A93" s="35"/>
      <c r="B93" s="35"/>
      <c r="C93" s="35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</row>
    <row r="94">
      <c r="A94" s="35"/>
      <c r="B94" s="35"/>
      <c r="C94" s="35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</row>
    <row r="95">
      <c r="A95" s="35"/>
      <c r="B95" s="35"/>
      <c r="C95" s="35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</row>
    <row r="96">
      <c r="A96" s="35"/>
      <c r="B96" s="35"/>
      <c r="C96" s="35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</row>
    <row r="97">
      <c r="A97" s="35"/>
      <c r="B97" s="35"/>
      <c r="C97" s="35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</row>
    <row r="98">
      <c r="A98" s="35"/>
      <c r="B98" s="35"/>
      <c r="C98" s="35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</row>
    <row r="99">
      <c r="A99" s="35"/>
      <c r="B99" s="35"/>
      <c r="C99" s="35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</row>
    <row r="100">
      <c r="A100" s="35"/>
      <c r="B100" s="35"/>
      <c r="C100" s="35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</row>
    <row r="101">
      <c r="A101" s="35"/>
      <c r="B101" s="35"/>
      <c r="C101" s="35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</row>
    <row r="102">
      <c r="A102" s="35"/>
      <c r="B102" s="35"/>
      <c r="C102" s="35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</row>
    <row r="103">
      <c r="A103" s="35"/>
      <c r="B103" s="35"/>
      <c r="C103" s="35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</row>
    <row r="104">
      <c r="A104" s="35"/>
      <c r="B104" s="35"/>
      <c r="C104" s="35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</row>
    <row r="105">
      <c r="A105" s="35"/>
      <c r="B105" s="35"/>
      <c r="C105" s="35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</row>
    <row r="106">
      <c r="A106" s="35"/>
      <c r="B106" s="35"/>
      <c r="C106" s="35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</row>
    <row r="107">
      <c r="A107" s="35"/>
      <c r="B107" s="35"/>
      <c r="C107" s="35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</row>
    <row r="108">
      <c r="A108" s="35"/>
      <c r="B108" s="35"/>
      <c r="C108" s="35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</row>
    <row r="109">
      <c r="A109" s="35"/>
      <c r="B109" s="35"/>
      <c r="C109" s="35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</row>
    <row r="110">
      <c r="A110" s="35"/>
      <c r="B110" s="35"/>
      <c r="C110" s="35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</row>
    <row r="111">
      <c r="A111" s="35"/>
      <c r="B111" s="35"/>
      <c r="C111" s="35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</row>
    <row r="112">
      <c r="A112" s="35"/>
      <c r="B112" s="35"/>
      <c r="C112" s="35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</row>
    <row r="113">
      <c r="A113" s="35"/>
      <c r="B113" s="35"/>
      <c r="C113" s="35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</row>
    <row r="114">
      <c r="A114" s="35"/>
      <c r="B114" s="35"/>
      <c r="C114" s="35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</row>
    <row r="115">
      <c r="A115" s="35"/>
      <c r="B115" s="35"/>
      <c r="C115" s="35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</row>
    <row r="116">
      <c r="A116" s="35"/>
      <c r="B116" s="35"/>
      <c r="C116" s="35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</row>
    <row r="117">
      <c r="A117" s="35"/>
      <c r="B117" s="35"/>
      <c r="C117" s="35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</row>
    <row r="118">
      <c r="A118" s="35"/>
      <c r="B118" s="35"/>
      <c r="C118" s="35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</row>
    <row r="119">
      <c r="A119" s="35"/>
      <c r="B119" s="35"/>
      <c r="C119" s="35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</row>
    <row r="120">
      <c r="A120" s="35"/>
      <c r="B120" s="35"/>
      <c r="C120" s="35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</row>
    <row r="121">
      <c r="A121" s="35"/>
      <c r="B121" s="35"/>
      <c r="C121" s="35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</row>
    <row r="122">
      <c r="A122" s="35"/>
      <c r="B122" s="35"/>
      <c r="C122" s="35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</row>
    <row r="123">
      <c r="A123" s="35"/>
      <c r="B123" s="35"/>
      <c r="C123" s="35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</row>
    <row r="124">
      <c r="A124" s="35"/>
      <c r="B124" s="35"/>
      <c r="C124" s="35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</row>
    <row r="125">
      <c r="A125" s="35"/>
      <c r="B125" s="35"/>
      <c r="C125" s="35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</row>
    <row r="126">
      <c r="A126" s="35"/>
      <c r="B126" s="35"/>
      <c r="C126" s="35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</row>
    <row r="127">
      <c r="A127" s="35"/>
      <c r="B127" s="35"/>
      <c r="C127" s="35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</row>
    <row r="128">
      <c r="A128" s="35"/>
      <c r="B128" s="35"/>
      <c r="C128" s="35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</row>
    <row r="129">
      <c r="A129" s="35"/>
      <c r="B129" s="35"/>
      <c r="C129" s="35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</row>
    <row r="130">
      <c r="A130" s="35"/>
      <c r="B130" s="35"/>
      <c r="C130" s="35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</row>
    <row r="131">
      <c r="A131" s="35"/>
      <c r="B131" s="35"/>
      <c r="C131" s="35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</row>
    <row r="132">
      <c r="A132" s="35"/>
      <c r="B132" s="35"/>
      <c r="C132" s="35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</row>
    <row r="133">
      <c r="A133" s="35"/>
      <c r="B133" s="35"/>
      <c r="C133" s="35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</row>
    <row r="134">
      <c r="A134" s="35"/>
      <c r="B134" s="35"/>
      <c r="C134" s="35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</row>
    <row r="135">
      <c r="A135" s="35"/>
      <c r="B135" s="35"/>
      <c r="C135" s="35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</row>
    <row r="136">
      <c r="A136" s="35"/>
      <c r="B136" s="35"/>
      <c r="C136" s="35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</row>
    <row r="137">
      <c r="A137" s="35"/>
      <c r="B137" s="35"/>
      <c r="C137" s="35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</row>
    <row r="138">
      <c r="A138" s="35"/>
      <c r="B138" s="35"/>
      <c r="C138" s="35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</row>
    <row r="139">
      <c r="A139" s="35"/>
      <c r="B139" s="35"/>
      <c r="C139" s="35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</row>
    <row r="140">
      <c r="A140" s="35"/>
      <c r="B140" s="35"/>
      <c r="C140" s="35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</row>
    <row r="141">
      <c r="A141" s="35"/>
      <c r="B141" s="35"/>
      <c r="C141" s="35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</row>
    <row r="142">
      <c r="A142" s="35"/>
      <c r="B142" s="35"/>
      <c r="C142" s="35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</row>
    <row r="143">
      <c r="A143" s="35"/>
      <c r="B143" s="35"/>
      <c r="C143" s="35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</row>
    <row r="144">
      <c r="A144" s="35"/>
      <c r="B144" s="35"/>
      <c r="C144" s="35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</row>
    <row r="145">
      <c r="A145" s="35"/>
      <c r="B145" s="35"/>
      <c r="C145" s="35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</row>
    <row r="146">
      <c r="A146" s="35"/>
      <c r="B146" s="35"/>
      <c r="C146" s="35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</row>
    <row r="147">
      <c r="A147" s="35"/>
      <c r="B147" s="35"/>
      <c r="C147" s="35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</row>
    <row r="148">
      <c r="A148" s="35"/>
      <c r="B148" s="35"/>
      <c r="C148" s="35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</row>
    <row r="149">
      <c r="A149" s="35"/>
      <c r="B149" s="35"/>
      <c r="C149" s="35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</row>
    <row r="150">
      <c r="A150" s="35"/>
      <c r="B150" s="35"/>
      <c r="C150" s="35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</row>
    <row r="151">
      <c r="A151" s="35"/>
      <c r="B151" s="35"/>
      <c r="C151" s="35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</row>
    <row r="152">
      <c r="A152" s="35"/>
      <c r="B152" s="35"/>
      <c r="C152" s="35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</row>
    <row r="153">
      <c r="A153" s="35"/>
      <c r="B153" s="35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</row>
    <row r="154">
      <c r="A154" s="35"/>
      <c r="B154" s="35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</row>
    <row r="155">
      <c r="A155" s="35"/>
      <c r="B155" s="35"/>
      <c r="C155" s="35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</row>
    <row r="156">
      <c r="A156" s="35"/>
      <c r="B156" s="35"/>
      <c r="C156" s="35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</row>
    <row r="157">
      <c r="A157" s="35"/>
      <c r="B157" s="35"/>
      <c r="C157" s="35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</row>
    <row r="158">
      <c r="A158" s="35"/>
      <c r="B158" s="35"/>
      <c r="C158" s="35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</row>
    <row r="159">
      <c r="A159" s="35"/>
      <c r="B159" s="35"/>
      <c r="C159" s="35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</row>
    <row r="160">
      <c r="A160" s="35"/>
      <c r="B160" s="35"/>
      <c r="C160" s="35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</row>
    <row r="161">
      <c r="A161" s="35"/>
      <c r="B161" s="35"/>
      <c r="C161" s="35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</row>
    <row r="162">
      <c r="A162" s="35"/>
      <c r="B162" s="35"/>
      <c r="C162" s="35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</row>
    <row r="163">
      <c r="A163" s="35"/>
      <c r="B163" s="35"/>
      <c r="C163" s="35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</row>
    <row r="164">
      <c r="A164" s="35"/>
      <c r="B164" s="35"/>
      <c r="C164" s="35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</row>
    <row r="165">
      <c r="A165" s="35"/>
      <c r="B165" s="35"/>
      <c r="C165" s="35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</row>
    <row r="166">
      <c r="A166" s="35"/>
      <c r="B166" s="35"/>
      <c r="C166" s="35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</row>
    <row r="167">
      <c r="A167" s="35"/>
      <c r="B167" s="35"/>
      <c r="C167" s="35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</row>
    <row r="168">
      <c r="A168" s="35"/>
      <c r="B168" s="35"/>
      <c r="C168" s="35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</row>
    <row r="169">
      <c r="A169" s="35"/>
      <c r="B169" s="35"/>
      <c r="C169" s="35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</row>
    <row r="170">
      <c r="A170" s="35"/>
      <c r="B170" s="35"/>
      <c r="C170" s="35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</row>
    <row r="171">
      <c r="A171" s="35"/>
      <c r="B171" s="35"/>
      <c r="C171" s="35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</row>
    <row r="172">
      <c r="A172" s="35"/>
      <c r="B172" s="35"/>
      <c r="C172" s="35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</row>
    <row r="173">
      <c r="A173" s="35"/>
      <c r="B173" s="35"/>
      <c r="C173" s="35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</row>
    <row r="174">
      <c r="A174" s="35"/>
      <c r="B174" s="35"/>
      <c r="C174" s="35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</row>
    <row r="175">
      <c r="A175" s="35"/>
      <c r="B175" s="35"/>
      <c r="C175" s="35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</row>
    <row r="176">
      <c r="A176" s="35"/>
      <c r="B176" s="35"/>
      <c r="C176" s="35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</row>
    <row r="177">
      <c r="A177" s="35"/>
      <c r="B177" s="35"/>
      <c r="C177" s="35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</row>
    <row r="178">
      <c r="A178" s="35"/>
      <c r="B178" s="35"/>
      <c r="C178" s="35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</row>
    <row r="179">
      <c r="A179" s="35"/>
      <c r="B179" s="35"/>
      <c r="C179" s="35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</row>
    <row r="180">
      <c r="A180" s="35"/>
      <c r="B180" s="35"/>
      <c r="C180" s="35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</row>
    <row r="181">
      <c r="A181" s="35"/>
      <c r="B181" s="35"/>
      <c r="C181" s="35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</row>
    <row r="182">
      <c r="A182" s="35"/>
      <c r="B182" s="35"/>
      <c r="C182" s="35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</row>
    <row r="183">
      <c r="A183" s="35"/>
      <c r="B183" s="35"/>
      <c r="C183" s="35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</row>
    <row r="184">
      <c r="A184" s="35"/>
      <c r="B184" s="35"/>
      <c r="C184" s="35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</row>
    <row r="185">
      <c r="A185" s="35"/>
      <c r="B185" s="35"/>
      <c r="C185" s="35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</row>
    <row r="186">
      <c r="A186" s="35"/>
      <c r="B186" s="35"/>
      <c r="C186" s="35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</row>
    <row r="187">
      <c r="A187" s="35"/>
      <c r="B187" s="35"/>
      <c r="C187" s="35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</row>
    <row r="188">
      <c r="A188" s="35"/>
      <c r="B188" s="35"/>
      <c r="C188" s="35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</row>
    <row r="189">
      <c r="A189" s="35"/>
      <c r="B189" s="35"/>
      <c r="C189" s="35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</row>
    <row r="190">
      <c r="A190" s="35"/>
      <c r="B190" s="35"/>
      <c r="C190" s="35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</row>
    <row r="191">
      <c r="A191" s="35"/>
      <c r="B191" s="35"/>
      <c r="C191" s="35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</row>
    <row r="192">
      <c r="A192" s="35"/>
      <c r="B192" s="35"/>
      <c r="C192" s="35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</row>
    <row r="193">
      <c r="A193" s="35"/>
      <c r="B193" s="35"/>
      <c r="C193" s="35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</row>
    <row r="194">
      <c r="A194" s="35"/>
      <c r="B194" s="35"/>
      <c r="C194" s="35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</row>
    <row r="195">
      <c r="A195" s="35"/>
      <c r="B195" s="35"/>
      <c r="C195" s="35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</row>
    <row r="196">
      <c r="A196" s="35"/>
      <c r="B196" s="35"/>
      <c r="C196" s="35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</row>
    <row r="197">
      <c r="A197" s="35"/>
      <c r="B197" s="35"/>
      <c r="C197" s="35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</row>
    <row r="198">
      <c r="A198" s="35"/>
      <c r="B198" s="35"/>
      <c r="C198" s="35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</row>
    <row r="199">
      <c r="A199" s="35"/>
      <c r="B199" s="35"/>
      <c r="C199" s="35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</row>
    <row r="200">
      <c r="A200" s="35"/>
      <c r="B200" s="35"/>
      <c r="C200" s="35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</row>
    <row r="201">
      <c r="A201" s="35"/>
      <c r="B201" s="35"/>
      <c r="C201" s="35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</row>
    <row r="202">
      <c r="A202" s="35"/>
      <c r="B202" s="35"/>
      <c r="C202" s="35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</row>
    <row r="203">
      <c r="A203" s="35"/>
      <c r="B203" s="35"/>
      <c r="C203" s="35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</row>
    <row r="204">
      <c r="A204" s="35"/>
      <c r="B204" s="35"/>
      <c r="C204" s="35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</row>
    <row r="205">
      <c r="A205" s="35"/>
      <c r="B205" s="35"/>
      <c r="C205" s="35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</row>
    <row r="206">
      <c r="A206" s="35"/>
      <c r="B206" s="35"/>
      <c r="C206" s="35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</row>
    <row r="207">
      <c r="A207" s="35"/>
      <c r="B207" s="35"/>
      <c r="C207" s="35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</row>
    <row r="208">
      <c r="A208" s="35"/>
      <c r="B208" s="35"/>
      <c r="C208" s="35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</row>
    <row r="209">
      <c r="A209" s="35"/>
      <c r="B209" s="35"/>
      <c r="C209" s="35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</row>
    <row r="210">
      <c r="A210" s="35"/>
      <c r="B210" s="35"/>
      <c r="C210" s="35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</row>
    <row r="211">
      <c r="A211" s="35"/>
      <c r="B211" s="35"/>
      <c r="C211" s="35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</row>
    <row r="212">
      <c r="A212" s="35"/>
      <c r="B212" s="35"/>
      <c r="C212" s="35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</row>
    <row r="213">
      <c r="A213" s="35"/>
      <c r="B213" s="35"/>
      <c r="C213" s="35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</row>
    <row r="214">
      <c r="A214" s="35"/>
      <c r="B214" s="35"/>
      <c r="C214" s="35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</row>
    <row r="215">
      <c r="A215" s="35"/>
      <c r="B215" s="35"/>
      <c r="C215" s="35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</row>
    <row r="216">
      <c r="A216" s="35"/>
      <c r="B216" s="35"/>
      <c r="C216" s="35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</row>
    <row r="217">
      <c r="A217" s="35"/>
      <c r="B217" s="35"/>
      <c r="C217" s="35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</row>
    <row r="218">
      <c r="A218" s="35"/>
      <c r="B218" s="35"/>
      <c r="C218" s="35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</row>
    <row r="219">
      <c r="A219" s="35"/>
      <c r="B219" s="35"/>
      <c r="C219" s="35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</row>
    <row r="220">
      <c r="A220" s="35"/>
      <c r="B220" s="35"/>
      <c r="C220" s="35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</row>
    <row r="221">
      <c r="A221" s="35"/>
      <c r="B221" s="35"/>
      <c r="C221" s="35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</row>
    <row r="222">
      <c r="A222" s="35"/>
      <c r="B222" s="35"/>
      <c r="C222" s="35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</row>
    <row r="223">
      <c r="A223" s="35"/>
      <c r="B223" s="35"/>
      <c r="C223" s="35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</row>
    <row r="224">
      <c r="A224" s="35"/>
      <c r="B224" s="35"/>
      <c r="C224" s="35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</row>
    <row r="225">
      <c r="A225" s="35"/>
      <c r="B225" s="35"/>
      <c r="C225" s="35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</row>
    <row r="226">
      <c r="A226" s="35"/>
      <c r="B226" s="35"/>
      <c r="C226" s="35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</row>
    <row r="227">
      <c r="A227" s="35"/>
      <c r="B227" s="35"/>
      <c r="C227" s="35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</row>
    <row r="228">
      <c r="A228" s="35"/>
      <c r="B228" s="35"/>
      <c r="C228" s="35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</row>
    <row r="229">
      <c r="A229" s="35"/>
      <c r="B229" s="35"/>
      <c r="C229" s="35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</row>
    <row r="230">
      <c r="A230" s="35"/>
      <c r="B230" s="35"/>
      <c r="C230" s="35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</row>
    <row r="231">
      <c r="A231" s="35"/>
      <c r="B231" s="35"/>
      <c r="C231" s="35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</row>
    <row r="232">
      <c r="A232" s="35"/>
      <c r="B232" s="35"/>
      <c r="C232" s="35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</row>
    <row r="233">
      <c r="A233" s="35"/>
      <c r="B233" s="35"/>
      <c r="C233" s="35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</row>
    <row r="234">
      <c r="A234" s="35"/>
      <c r="B234" s="35"/>
      <c r="C234" s="35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</row>
    <row r="235">
      <c r="A235" s="35"/>
      <c r="B235" s="35"/>
      <c r="C235" s="35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</row>
    <row r="236">
      <c r="A236" s="35"/>
      <c r="B236" s="35"/>
      <c r="C236" s="35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</row>
    <row r="237">
      <c r="A237" s="35"/>
      <c r="B237" s="35"/>
      <c r="C237" s="35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</row>
    <row r="238">
      <c r="A238" s="35"/>
      <c r="B238" s="35"/>
      <c r="C238" s="35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</row>
    <row r="239">
      <c r="A239" s="35"/>
      <c r="B239" s="35"/>
      <c r="C239" s="35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</row>
    <row r="240">
      <c r="A240" s="35"/>
      <c r="B240" s="35"/>
      <c r="C240" s="35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</row>
    <row r="241">
      <c r="A241" s="35"/>
      <c r="B241" s="35"/>
      <c r="C241" s="35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</row>
    <row r="242">
      <c r="A242" s="35"/>
      <c r="B242" s="35"/>
      <c r="C242" s="35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</row>
    <row r="243">
      <c r="A243" s="35"/>
      <c r="B243" s="35"/>
      <c r="C243" s="35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</row>
    <row r="244">
      <c r="A244" s="35"/>
      <c r="B244" s="35"/>
      <c r="C244" s="35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</row>
    <row r="245">
      <c r="A245" s="35"/>
      <c r="B245" s="35"/>
      <c r="C245" s="35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</row>
    <row r="246">
      <c r="A246" s="35"/>
      <c r="B246" s="35"/>
      <c r="C246" s="35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</row>
    <row r="247">
      <c r="A247" s="35"/>
      <c r="B247" s="35"/>
      <c r="C247" s="35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</row>
    <row r="248">
      <c r="A248" s="35"/>
      <c r="B248" s="35"/>
      <c r="C248" s="35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</row>
    <row r="249">
      <c r="A249" s="35"/>
      <c r="B249" s="35"/>
      <c r="C249" s="35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</row>
    <row r="250">
      <c r="A250" s="35"/>
      <c r="B250" s="35"/>
      <c r="C250" s="35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</row>
    <row r="251">
      <c r="A251" s="35"/>
      <c r="B251" s="35"/>
      <c r="C251" s="35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</row>
    <row r="252">
      <c r="A252" s="35"/>
      <c r="B252" s="35"/>
      <c r="C252" s="35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</row>
    <row r="253">
      <c r="A253" s="35"/>
      <c r="B253" s="35"/>
      <c r="C253" s="35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</row>
    <row r="254">
      <c r="A254" s="35"/>
      <c r="B254" s="35"/>
      <c r="C254" s="35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</row>
    <row r="255">
      <c r="A255" s="35"/>
      <c r="B255" s="35"/>
      <c r="C255" s="35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</row>
    <row r="256">
      <c r="A256" s="35"/>
      <c r="B256" s="35"/>
      <c r="C256" s="35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</row>
    <row r="257">
      <c r="A257" s="35"/>
      <c r="B257" s="35"/>
      <c r="C257" s="35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</row>
    <row r="258">
      <c r="A258" s="35"/>
      <c r="B258" s="35"/>
      <c r="C258" s="35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</row>
    <row r="259">
      <c r="A259" s="35"/>
      <c r="B259" s="35"/>
      <c r="C259" s="35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</row>
    <row r="260">
      <c r="A260" s="35"/>
      <c r="B260" s="35"/>
      <c r="C260" s="35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</row>
    <row r="261">
      <c r="A261" s="35"/>
      <c r="B261" s="35"/>
      <c r="C261" s="35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</row>
    <row r="262">
      <c r="A262" s="35"/>
      <c r="B262" s="35"/>
      <c r="C262" s="35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</row>
    <row r="263">
      <c r="A263" s="35"/>
      <c r="B263" s="35"/>
      <c r="C263" s="35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</row>
    <row r="264">
      <c r="A264" s="35"/>
      <c r="B264" s="35"/>
      <c r="C264" s="35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</row>
    <row r="265">
      <c r="A265" s="35"/>
      <c r="B265" s="35"/>
      <c r="C265" s="35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</row>
    <row r="266">
      <c r="A266" s="35"/>
      <c r="B266" s="35"/>
      <c r="C266" s="35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</row>
    <row r="267">
      <c r="A267" s="35"/>
      <c r="B267" s="35"/>
      <c r="C267" s="35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</row>
    <row r="268">
      <c r="A268" s="35"/>
      <c r="B268" s="35"/>
      <c r="C268" s="35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</row>
    <row r="269">
      <c r="A269" s="35"/>
      <c r="B269" s="35"/>
      <c r="C269" s="35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</row>
    <row r="270">
      <c r="A270" s="35"/>
      <c r="B270" s="35"/>
      <c r="C270" s="35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</row>
    <row r="271">
      <c r="A271" s="35"/>
      <c r="B271" s="35"/>
      <c r="C271" s="35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</row>
    <row r="272">
      <c r="A272" s="35"/>
      <c r="B272" s="35"/>
      <c r="C272" s="35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</row>
    <row r="273">
      <c r="A273" s="35"/>
      <c r="B273" s="35"/>
      <c r="C273" s="35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</row>
    <row r="274">
      <c r="A274" s="35"/>
      <c r="B274" s="35"/>
      <c r="C274" s="35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</row>
    <row r="275">
      <c r="A275" s="35"/>
      <c r="B275" s="35"/>
      <c r="C275" s="35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</row>
    <row r="276">
      <c r="A276" s="35"/>
      <c r="B276" s="35"/>
      <c r="C276" s="35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</row>
    <row r="277">
      <c r="A277" s="35"/>
      <c r="B277" s="35"/>
      <c r="C277" s="35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</row>
    <row r="278">
      <c r="A278" s="35"/>
      <c r="B278" s="35"/>
      <c r="C278" s="35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</row>
    <row r="279">
      <c r="A279" s="35"/>
      <c r="B279" s="35"/>
      <c r="C279" s="35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</row>
    <row r="280">
      <c r="A280" s="35"/>
      <c r="B280" s="35"/>
      <c r="C280" s="35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</row>
    <row r="281">
      <c r="A281" s="35"/>
      <c r="B281" s="35"/>
      <c r="C281" s="35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</row>
    <row r="282">
      <c r="A282" s="35"/>
      <c r="B282" s="35"/>
      <c r="C282" s="35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</row>
    <row r="283">
      <c r="A283" s="35"/>
      <c r="B283" s="35"/>
      <c r="C283" s="35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</row>
    <row r="284">
      <c r="A284" s="35"/>
      <c r="B284" s="35"/>
      <c r="C284" s="35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</row>
    <row r="285">
      <c r="A285" s="35"/>
      <c r="B285" s="35"/>
      <c r="C285" s="35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</row>
    <row r="286">
      <c r="A286" s="35"/>
      <c r="B286" s="35"/>
      <c r="C286" s="35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</row>
    <row r="287">
      <c r="A287" s="35"/>
      <c r="B287" s="35"/>
      <c r="C287" s="35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</row>
    <row r="288">
      <c r="A288" s="35"/>
      <c r="B288" s="35"/>
      <c r="C288" s="35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</row>
    <row r="289">
      <c r="A289" s="35"/>
      <c r="B289" s="35"/>
      <c r="C289" s="35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</row>
    <row r="290">
      <c r="A290" s="35"/>
      <c r="B290" s="35"/>
      <c r="C290" s="35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</row>
    <row r="291">
      <c r="A291" s="35"/>
      <c r="B291" s="35"/>
      <c r="C291" s="35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</row>
    <row r="292">
      <c r="A292" s="35"/>
      <c r="B292" s="35"/>
      <c r="C292" s="35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</row>
    <row r="293">
      <c r="A293" s="35"/>
      <c r="B293" s="35"/>
      <c r="C293" s="35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</row>
    <row r="294">
      <c r="A294" s="35"/>
      <c r="B294" s="35"/>
      <c r="C294" s="35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</row>
    <row r="295">
      <c r="A295" s="35"/>
      <c r="B295" s="35"/>
      <c r="C295" s="35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</row>
    <row r="296">
      <c r="A296" s="35"/>
      <c r="B296" s="35"/>
      <c r="C296" s="35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</row>
    <row r="297">
      <c r="A297" s="35"/>
      <c r="B297" s="35"/>
      <c r="C297" s="35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</row>
    <row r="298">
      <c r="A298" s="35"/>
      <c r="B298" s="35"/>
      <c r="C298" s="35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</row>
    <row r="299">
      <c r="A299" s="35"/>
      <c r="B299" s="35"/>
      <c r="C299" s="35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</row>
    <row r="300">
      <c r="A300" s="35"/>
      <c r="B300" s="35"/>
      <c r="C300" s="35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</row>
    <row r="301">
      <c r="A301" s="35"/>
      <c r="B301" s="35"/>
      <c r="C301" s="35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</row>
    <row r="302">
      <c r="A302" s="35"/>
      <c r="B302" s="35"/>
      <c r="C302" s="35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</row>
    <row r="303">
      <c r="A303" s="35"/>
      <c r="B303" s="35"/>
      <c r="C303" s="35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</row>
    <row r="304">
      <c r="A304" s="35"/>
      <c r="B304" s="35"/>
      <c r="C304" s="35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</row>
    <row r="305">
      <c r="A305" s="35"/>
      <c r="B305" s="35"/>
      <c r="C305" s="35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</row>
    <row r="306">
      <c r="A306" s="35"/>
      <c r="B306" s="35"/>
      <c r="C306" s="35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</row>
    <row r="307">
      <c r="A307" s="35"/>
      <c r="B307" s="35"/>
      <c r="C307" s="35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</row>
    <row r="308">
      <c r="A308" s="35"/>
      <c r="B308" s="35"/>
      <c r="C308" s="35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</row>
    <row r="309">
      <c r="A309" s="35"/>
      <c r="B309" s="35"/>
      <c r="C309" s="35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</row>
    <row r="310">
      <c r="A310" s="35"/>
      <c r="B310" s="35"/>
      <c r="C310" s="35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</row>
    <row r="311">
      <c r="A311" s="35"/>
      <c r="B311" s="35"/>
      <c r="C311" s="35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</row>
    <row r="312">
      <c r="A312" s="35"/>
      <c r="B312" s="35"/>
      <c r="C312" s="35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</row>
    <row r="313">
      <c r="A313" s="35"/>
      <c r="B313" s="35"/>
      <c r="C313" s="35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</row>
    <row r="314">
      <c r="A314" s="35"/>
      <c r="B314" s="35"/>
      <c r="C314" s="35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</row>
    <row r="315">
      <c r="A315" s="35"/>
      <c r="B315" s="35"/>
      <c r="C315" s="35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</row>
    <row r="316">
      <c r="A316" s="35"/>
      <c r="B316" s="35"/>
      <c r="C316" s="35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</row>
    <row r="317">
      <c r="A317" s="35"/>
      <c r="B317" s="35"/>
      <c r="C317" s="35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</row>
    <row r="318">
      <c r="A318" s="35"/>
      <c r="B318" s="35"/>
      <c r="C318" s="35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</row>
    <row r="319">
      <c r="A319" s="35"/>
      <c r="B319" s="35"/>
      <c r="C319" s="35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</row>
    <row r="320">
      <c r="A320" s="35"/>
      <c r="B320" s="35"/>
      <c r="C320" s="35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</row>
    <row r="321">
      <c r="A321" s="35"/>
      <c r="B321" s="35"/>
      <c r="C321" s="35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</row>
    <row r="322">
      <c r="A322" s="35"/>
      <c r="B322" s="35"/>
      <c r="C322" s="35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</row>
    <row r="323">
      <c r="A323" s="35"/>
      <c r="B323" s="35"/>
      <c r="C323" s="35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</row>
    <row r="324">
      <c r="A324" s="35"/>
      <c r="B324" s="35"/>
      <c r="C324" s="35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</row>
    <row r="325">
      <c r="A325" s="35"/>
      <c r="B325" s="35"/>
      <c r="C325" s="35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</row>
    <row r="326">
      <c r="A326" s="35"/>
      <c r="B326" s="35"/>
      <c r="C326" s="35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</row>
    <row r="327">
      <c r="A327" s="35"/>
      <c r="B327" s="35"/>
      <c r="C327" s="35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</row>
    <row r="328">
      <c r="A328" s="35"/>
      <c r="B328" s="35"/>
      <c r="C328" s="35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</row>
    <row r="329">
      <c r="A329" s="35"/>
      <c r="B329" s="35"/>
      <c r="C329" s="35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</row>
    <row r="330">
      <c r="A330" s="35"/>
      <c r="B330" s="35"/>
      <c r="C330" s="35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</row>
    <row r="331">
      <c r="A331" s="35"/>
      <c r="B331" s="35"/>
      <c r="C331" s="35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</row>
    <row r="332">
      <c r="A332" s="35"/>
      <c r="B332" s="35"/>
      <c r="C332" s="35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</row>
    <row r="333">
      <c r="A333" s="35"/>
      <c r="B333" s="35"/>
      <c r="C333" s="35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</row>
    <row r="334">
      <c r="A334" s="35"/>
      <c r="B334" s="35"/>
      <c r="C334" s="35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</row>
    <row r="335">
      <c r="A335" s="35"/>
      <c r="B335" s="35"/>
      <c r="C335" s="35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</row>
    <row r="336">
      <c r="A336" s="35"/>
      <c r="B336" s="35"/>
      <c r="C336" s="35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</row>
    <row r="337">
      <c r="A337" s="35"/>
      <c r="B337" s="35"/>
      <c r="C337" s="35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</row>
    <row r="338">
      <c r="A338" s="35"/>
      <c r="B338" s="35"/>
      <c r="C338" s="35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</row>
    <row r="339">
      <c r="A339" s="35"/>
      <c r="B339" s="35"/>
      <c r="C339" s="35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</row>
    <row r="340">
      <c r="A340" s="35"/>
      <c r="B340" s="35"/>
      <c r="C340" s="35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</row>
    <row r="341">
      <c r="A341" s="35"/>
      <c r="B341" s="35"/>
      <c r="C341" s="35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</row>
    <row r="342">
      <c r="A342" s="35"/>
      <c r="B342" s="35"/>
      <c r="C342" s="35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</row>
    <row r="343">
      <c r="A343" s="35"/>
      <c r="B343" s="35"/>
      <c r="C343" s="35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</row>
    <row r="344">
      <c r="A344" s="35"/>
      <c r="B344" s="35"/>
      <c r="C344" s="35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</row>
    <row r="345">
      <c r="A345" s="35"/>
      <c r="B345" s="35"/>
      <c r="C345" s="35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</row>
    <row r="346">
      <c r="A346" s="35"/>
      <c r="B346" s="35"/>
      <c r="C346" s="35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</row>
    <row r="347">
      <c r="A347" s="35"/>
      <c r="B347" s="35"/>
      <c r="C347" s="35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</row>
    <row r="348">
      <c r="A348" s="35"/>
      <c r="B348" s="35"/>
      <c r="C348" s="35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</row>
    <row r="349">
      <c r="A349" s="35"/>
      <c r="B349" s="35"/>
      <c r="C349" s="35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</row>
    <row r="350">
      <c r="A350" s="35"/>
      <c r="B350" s="35"/>
      <c r="C350" s="35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</row>
    <row r="351">
      <c r="A351" s="35"/>
      <c r="B351" s="35"/>
      <c r="C351" s="35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</row>
    <row r="352">
      <c r="A352" s="35"/>
      <c r="B352" s="35"/>
      <c r="C352" s="35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</row>
    <row r="353">
      <c r="A353" s="35"/>
      <c r="B353" s="35"/>
      <c r="C353" s="35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</row>
    <row r="354">
      <c r="A354" s="35"/>
      <c r="B354" s="35"/>
      <c r="C354" s="35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</row>
    <row r="355">
      <c r="A355" s="35"/>
      <c r="B355" s="35"/>
      <c r="C355" s="35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</row>
    <row r="356">
      <c r="A356" s="35"/>
      <c r="B356" s="35"/>
      <c r="C356" s="35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</row>
    <row r="357">
      <c r="A357" s="35"/>
      <c r="B357" s="35"/>
      <c r="C357" s="35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</row>
    <row r="358">
      <c r="A358" s="35"/>
      <c r="B358" s="35"/>
      <c r="C358" s="35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</row>
    <row r="359">
      <c r="A359" s="35"/>
      <c r="B359" s="35"/>
      <c r="C359" s="35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</row>
    <row r="360">
      <c r="A360" s="35"/>
      <c r="B360" s="35"/>
      <c r="C360" s="35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</row>
    <row r="361">
      <c r="A361" s="35"/>
      <c r="B361" s="35"/>
      <c r="C361" s="35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</row>
    <row r="362">
      <c r="A362" s="35"/>
      <c r="B362" s="35"/>
      <c r="C362" s="35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</row>
    <row r="363">
      <c r="A363" s="35"/>
      <c r="B363" s="35"/>
      <c r="C363" s="35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</row>
    <row r="364">
      <c r="A364" s="35"/>
      <c r="B364" s="35"/>
      <c r="C364" s="35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</row>
    <row r="365">
      <c r="A365" s="35"/>
      <c r="B365" s="35"/>
      <c r="C365" s="35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</row>
    <row r="366">
      <c r="A366" s="35"/>
      <c r="B366" s="35"/>
      <c r="C366" s="35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</row>
    <row r="367">
      <c r="A367" s="35"/>
      <c r="B367" s="35"/>
      <c r="C367" s="35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</row>
    <row r="368">
      <c r="A368" s="35"/>
      <c r="B368" s="35"/>
      <c r="C368" s="35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</row>
    <row r="369">
      <c r="A369" s="35"/>
      <c r="B369" s="35"/>
      <c r="C369" s="35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</row>
    <row r="370">
      <c r="A370" s="35"/>
      <c r="B370" s="35"/>
      <c r="C370" s="35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</row>
    <row r="371">
      <c r="A371" s="35"/>
      <c r="B371" s="35"/>
      <c r="C371" s="35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</row>
    <row r="372">
      <c r="A372" s="35"/>
      <c r="B372" s="35"/>
      <c r="C372" s="35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</row>
    <row r="373">
      <c r="A373" s="35"/>
      <c r="B373" s="35"/>
      <c r="C373" s="35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</row>
    <row r="374">
      <c r="A374" s="35"/>
      <c r="B374" s="35"/>
      <c r="C374" s="35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</row>
    <row r="375">
      <c r="A375" s="35"/>
      <c r="B375" s="35"/>
      <c r="C375" s="35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</row>
    <row r="376">
      <c r="A376" s="35"/>
      <c r="B376" s="35"/>
      <c r="C376" s="35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</row>
    <row r="377">
      <c r="A377" s="35"/>
      <c r="B377" s="35"/>
      <c r="C377" s="35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</row>
    <row r="378">
      <c r="A378" s="35"/>
      <c r="B378" s="35"/>
      <c r="C378" s="35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</row>
    <row r="379">
      <c r="A379" s="35"/>
      <c r="B379" s="35"/>
      <c r="C379" s="35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</row>
    <row r="380">
      <c r="A380" s="35"/>
      <c r="B380" s="35"/>
      <c r="C380" s="35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</row>
    <row r="381">
      <c r="A381" s="35"/>
      <c r="B381" s="35"/>
      <c r="C381" s="35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</row>
    <row r="382">
      <c r="A382" s="35"/>
      <c r="B382" s="35"/>
      <c r="C382" s="35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</row>
    <row r="383">
      <c r="A383" s="35"/>
      <c r="B383" s="35"/>
      <c r="C383" s="35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</row>
    <row r="384">
      <c r="A384" s="35"/>
      <c r="B384" s="35"/>
      <c r="C384" s="35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</row>
    <row r="385">
      <c r="A385" s="35"/>
      <c r="B385" s="35"/>
      <c r="C385" s="35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</row>
    <row r="386">
      <c r="A386" s="35"/>
      <c r="B386" s="35"/>
      <c r="C386" s="35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</row>
    <row r="387">
      <c r="A387" s="35"/>
      <c r="B387" s="35"/>
      <c r="C387" s="35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</row>
    <row r="388">
      <c r="A388" s="35"/>
      <c r="B388" s="35"/>
      <c r="C388" s="35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</row>
    <row r="389">
      <c r="A389" s="35"/>
      <c r="B389" s="35"/>
      <c r="C389" s="35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</row>
    <row r="390">
      <c r="A390" s="35"/>
      <c r="B390" s="35"/>
      <c r="C390" s="35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</row>
    <row r="391">
      <c r="A391" s="35"/>
      <c r="B391" s="35"/>
      <c r="C391" s="35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</row>
    <row r="392">
      <c r="A392" s="35"/>
      <c r="B392" s="35"/>
      <c r="C392" s="35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</row>
    <row r="393">
      <c r="A393" s="35"/>
      <c r="B393" s="35"/>
      <c r="C393" s="35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</row>
    <row r="394">
      <c r="A394" s="35"/>
      <c r="B394" s="35"/>
      <c r="C394" s="35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</row>
    <row r="395">
      <c r="A395" s="35"/>
      <c r="B395" s="35"/>
      <c r="C395" s="35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</row>
    <row r="396">
      <c r="A396" s="35"/>
      <c r="B396" s="35"/>
      <c r="C396" s="35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</row>
    <row r="397">
      <c r="A397" s="35"/>
      <c r="B397" s="35"/>
      <c r="C397" s="35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</row>
    <row r="398">
      <c r="A398" s="35"/>
      <c r="B398" s="35"/>
      <c r="C398" s="35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</row>
    <row r="399">
      <c r="A399" s="35"/>
      <c r="B399" s="35"/>
      <c r="C399" s="35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</row>
    <row r="400">
      <c r="A400" s="35"/>
      <c r="B400" s="35"/>
      <c r="C400" s="35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</row>
    <row r="401">
      <c r="A401" s="35"/>
      <c r="B401" s="35"/>
      <c r="C401" s="35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</row>
    <row r="402">
      <c r="A402" s="35"/>
      <c r="B402" s="35"/>
      <c r="C402" s="35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</row>
    <row r="403">
      <c r="A403" s="35"/>
      <c r="B403" s="35"/>
      <c r="C403" s="35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</row>
    <row r="404">
      <c r="A404" s="35"/>
      <c r="B404" s="35"/>
      <c r="C404" s="35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</row>
    <row r="405">
      <c r="A405" s="35"/>
      <c r="B405" s="35"/>
      <c r="C405" s="35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</row>
    <row r="406">
      <c r="A406" s="35"/>
      <c r="B406" s="35"/>
      <c r="C406" s="35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</row>
    <row r="407">
      <c r="A407" s="35"/>
      <c r="B407" s="35"/>
      <c r="C407" s="35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</row>
    <row r="408">
      <c r="A408" s="35"/>
      <c r="B408" s="35"/>
      <c r="C408" s="35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</row>
    <row r="409">
      <c r="A409" s="35"/>
      <c r="B409" s="35"/>
      <c r="C409" s="35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</row>
    <row r="410">
      <c r="A410" s="35"/>
      <c r="B410" s="35"/>
      <c r="C410" s="35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</row>
    <row r="411">
      <c r="A411" s="35"/>
      <c r="B411" s="35"/>
      <c r="C411" s="35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</row>
    <row r="412">
      <c r="A412" s="35"/>
      <c r="B412" s="35"/>
      <c r="C412" s="35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</row>
    <row r="413">
      <c r="A413" s="35"/>
      <c r="B413" s="35"/>
      <c r="C413" s="35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</row>
    <row r="414">
      <c r="A414" s="35"/>
      <c r="B414" s="35"/>
      <c r="C414" s="35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</row>
    <row r="415">
      <c r="A415" s="35"/>
      <c r="B415" s="35"/>
      <c r="C415" s="35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</row>
    <row r="416">
      <c r="A416" s="35"/>
      <c r="B416" s="35"/>
      <c r="C416" s="35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</row>
    <row r="417">
      <c r="A417" s="35"/>
      <c r="B417" s="35"/>
      <c r="C417" s="35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</row>
    <row r="418">
      <c r="A418" s="35"/>
      <c r="B418" s="35"/>
      <c r="C418" s="35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</row>
    <row r="419">
      <c r="A419" s="35"/>
      <c r="B419" s="35"/>
      <c r="C419" s="35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</row>
    <row r="420">
      <c r="A420" s="35"/>
      <c r="B420" s="35"/>
      <c r="C420" s="35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</row>
    <row r="421">
      <c r="A421" s="35"/>
      <c r="B421" s="35"/>
      <c r="C421" s="35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</row>
    <row r="422">
      <c r="A422" s="35"/>
      <c r="B422" s="35"/>
      <c r="C422" s="35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</row>
    <row r="423">
      <c r="A423" s="35"/>
      <c r="B423" s="35"/>
      <c r="C423" s="35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</row>
    <row r="424">
      <c r="A424" s="35"/>
      <c r="B424" s="35"/>
      <c r="C424" s="35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</row>
    <row r="425">
      <c r="A425" s="35"/>
      <c r="B425" s="35"/>
      <c r="C425" s="35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</row>
    <row r="426">
      <c r="A426" s="35"/>
      <c r="B426" s="35"/>
      <c r="C426" s="35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</row>
    <row r="427">
      <c r="A427" s="35"/>
      <c r="B427" s="35"/>
      <c r="C427" s="35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</row>
    <row r="428">
      <c r="A428" s="35"/>
      <c r="B428" s="35"/>
      <c r="C428" s="35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</row>
    <row r="429">
      <c r="A429" s="35"/>
      <c r="B429" s="35"/>
      <c r="C429" s="35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</row>
    <row r="430">
      <c r="A430" s="35"/>
      <c r="B430" s="35"/>
      <c r="C430" s="35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</row>
    <row r="431">
      <c r="A431" s="35"/>
      <c r="B431" s="35"/>
      <c r="C431" s="35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</row>
    <row r="432">
      <c r="A432" s="35"/>
      <c r="B432" s="35"/>
      <c r="C432" s="35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</row>
    <row r="433">
      <c r="A433" s="35"/>
      <c r="B433" s="35"/>
      <c r="C433" s="35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</row>
    <row r="434">
      <c r="A434" s="35"/>
      <c r="B434" s="35"/>
      <c r="C434" s="35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</row>
    <row r="435">
      <c r="A435" s="35"/>
      <c r="B435" s="35"/>
      <c r="C435" s="35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</row>
    <row r="436">
      <c r="A436" s="35"/>
      <c r="B436" s="35"/>
      <c r="C436" s="35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</row>
    <row r="437">
      <c r="A437" s="35"/>
      <c r="B437" s="35"/>
      <c r="C437" s="35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</row>
    <row r="438">
      <c r="A438" s="35"/>
      <c r="B438" s="35"/>
      <c r="C438" s="35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</row>
    <row r="439">
      <c r="A439" s="35"/>
      <c r="B439" s="35"/>
      <c r="C439" s="35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</row>
    <row r="440">
      <c r="A440" s="35"/>
      <c r="B440" s="35"/>
      <c r="C440" s="35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</row>
    <row r="441">
      <c r="A441" s="35"/>
      <c r="B441" s="35"/>
      <c r="C441" s="35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</row>
    <row r="442">
      <c r="A442" s="35"/>
      <c r="B442" s="35"/>
      <c r="C442" s="35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</row>
    <row r="443">
      <c r="A443" s="35"/>
      <c r="B443" s="35"/>
      <c r="C443" s="35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</row>
    <row r="444">
      <c r="A444" s="35"/>
      <c r="B444" s="35"/>
      <c r="C444" s="35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</row>
    <row r="445">
      <c r="A445" s="35"/>
      <c r="B445" s="35"/>
      <c r="C445" s="35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</row>
    <row r="446">
      <c r="A446" s="35"/>
      <c r="B446" s="35"/>
      <c r="C446" s="35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</row>
    <row r="447">
      <c r="A447" s="35"/>
      <c r="B447" s="35"/>
      <c r="C447" s="35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</row>
    <row r="448">
      <c r="A448" s="35"/>
      <c r="B448" s="35"/>
      <c r="C448" s="35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</row>
    <row r="449">
      <c r="A449" s="35"/>
      <c r="B449" s="35"/>
      <c r="C449" s="35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</row>
    <row r="450">
      <c r="A450" s="35"/>
      <c r="B450" s="35"/>
      <c r="C450" s="35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</row>
    <row r="451">
      <c r="A451" s="35"/>
      <c r="B451" s="35"/>
      <c r="C451" s="35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</row>
    <row r="452">
      <c r="A452" s="35"/>
      <c r="B452" s="35"/>
      <c r="C452" s="35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</row>
    <row r="453">
      <c r="A453" s="35"/>
      <c r="B453" s="35"/>
      <c r="C453" s="35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</row>
    <row r="454">
      <c r="A454" s="35"/>
      <c r="B454" s="35"/>
      <c r="C454" s="35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</row>
    <row r="455">
      <c r="A455" s="35"/>
      <c r="B455" s="35"/>
      <c r="C455" s="35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</row>
    <row r="456">
      <c r="A456" s="35"/>
      <c r="B456" s="35"/>
      <c r="C456" s="35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</row>
    <row r="457">
      <c r="A457" s="35"/>
      <c r="B457" s="35"/>
      <c r="C457" s="35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</row>
    <row r="458">
      <c r="A458" s="35"/>
      <c r="B458" s="35"/>
      <c r="C458" s="35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</row>
    <row r="459">
      <c r="A459" s="35"/>
      <c r="B459" s="35"/>
      <c r="C459" s="35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</row>
    <row r="460">
      <c r="A460" s="35"/>
      <c r="B460" s="35"/>
      <c r="C460" s="35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</row>
    <row r="461">
      <c r="A461" s="35"/>
      <c r="B461" s="35"/>
      <c r="C461" s="35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</row>
    <row r="462">
      <c r="A462" s="35"/>
      <c r="B462" s="35"/>
      <c r="C462" s="35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</row>
    <row r="463">
      <c r="A463" s="35"/>
      <c r="B463" s="35"/>
      <c r="C463" s="35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</row>
    <row r="464">
      <c r="A464" s="35"/>
      <c r="B464" s="35"/>
      <c r="C464" s="35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</row>
    <row r="465">
      <c r="A465" s="35"/>
      <c r="B465" s="35"/>
      <c r="C465" s="35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</row>
    <row r="466">
      <c r="A466" s="35"/>
      <c r="B466" s="35"/>
      <c r="C466" s="35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</row>
    <row r="467">
      <c r="A467" s="35"/>
      <c r="B467" s="35"/>
      <c r="C467" s="35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</row>
    <row r="468">
      <c r="A468" s="35"/>
      <c r="B468" s="35"/>
      <c r="C468" s="35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</row>
    <row r="469">
      <c r="A469" s="35"/>
      <c r="B469" s="35"/>
      <c r="C469" s="35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</row>
    <row r="470">
      <c r="A470" s="35"/>
      <c r="B470" s="35"/>
      <c r="C470" s="35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</row>
    <row r="471">
      <c r="A471" s="35"/>
      <c r="B471" s="35"/>
      <c r="C471" s="35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</row>
    <row r="472">
      <c r="A472" s="35"/>
      <c r="B472" s="35"/>
      <c r="C472" s="35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</row>
    <row r="473">
      <c r="A473" s="35"/>
      <c r="B473" s="35"/>
      <c r="C473" s="35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</row>
    <row r="474">
      <c r="A474" s="35"/>
      <c r="B474" s="35"/>
      <c r="C474" s="35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</row>
    <row r="475">
      <c r="A475" s="35"/>
      <c r="B475" s="35"/>
      <c r="C475" s="35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</row>
    <row r="476">
      <c r="A476" s="35"/>
      <c r="B476" s="35"/>
      <c r="C476" s="35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</row>
    <row r="477">
      <c r="A477" s="35"/>
      <c r="B477" s="35"/>
      <c r="C477" s="35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</row>
    <row r="478">
      <c r="A478" s="35"/>
      <c r="B478" s="35"/>
      <c r="C478" s="35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</row>
    <row r="479">
      <c r="A479" s="35"/>
      <c r="B479" s="35"/>
      <c r="C479" s="35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</row>
    <row r="480">
      <c r="A480" s="35"/>
      <c r="B480" s="35"/>
      <c r="C480" s="35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</row>
    <row r="481">
      <c r="A481" s="35"/>
      <c r="B481" s="35"/>
      <c r="C481" s="35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</row>
    <row r="482">
      <c r="A482" s="35"/>
      <c r="B482" s="35"/>
      <c r="C482" s="35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</row>
    <row r="483">
      <c r="A483" s="35"/>
      <c r="B483" s="35"/>
      <c r="C483" s="35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</row>
    <row r="484">
      <c r="A484" s="35"/>
      <c r="B484" s="35"/>
      <c r="C484" s="35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</row>
    <row r="485">
      <c r="A485" s="35"/>
      <c r="B485" s="35"/>
      <c r="C485" s="35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</row>
    <row r="486">
      <c r="A486" s="35"/>
      <c r="B486" s="35"/>
      <c r="C486" s="35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</row>
    <row r="487">
      <c r="A487" s="35"/>
      <c r="B487" s="35"/>
      <c r="C487" s="35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</row>
    <row r="488">
      <c r="A488" s="35"/>
      <c r="B488" s="35"/>
      <c r="C488" s="35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</row>
    <row r="489">
      <c r="A489" s="35"/>
      <c r="B489" s="35"/>
      <c r="C489" s="35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</row>
    <row r="490">
      <c r="A490" s="35"/>
      <c r="B490" s="35"/>
      <c r="C490" s="35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</row>
    <row r="491">
      <c r="A491" s="35"/>
      <c r="B491" s="35"/>
      <c r="C491" s="35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</row>
    <row r="492">
      <c r="A492" s="35"/>
      <c r="B492" s="35"/>
      <c r="C492" s="35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</row>
    <row r="493">
      <c r="A493" s="35"/>
      <c r="B493" s="35"/>
      <c r="C493" s="35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</row>
    <row r="494">
      <c r="A494" s="35"/>
      <c r="B494" s="35"/>
      <c r="C494" s="35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</row>
    <row r="495">
      <c r="A495" s="35"/>
      <c r="B495" s="35"/>
      <c r="C495" s="35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</row>
    <row r="496">
      <c r="A496" s="35"/>
      <c r="B496" s="35"/>
      <c r="C496" s="35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</row>
    <row r="497">
      <c r="A497" s="35"/>
      <c r="B497" s="35"/>
      <c r="C497" s="35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</row>
    <row r="498">
      <c r="A498" s="35"/>
      <c r="B498" s="35"/>
      <c r="C498" s="35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</row>
    <row r="499">
      <c r="A499" s="35"/>
      <c r="B499" s="35"/>
      <c r="C499" s="35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</row>
    <row r="500">
      <c r="A500" s="35"/>
      <c r="B500" s="35"/>
      <c r="C500" s="35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</row>
    <row r="501">
      <c r="A501" s="35"/>
      <c r="B501" s="35"/>
      <c r="C501" s="35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</row>
    <row r="502">
      <c r="A502" s="35"/>
      <c r="B502" s="35"/>
      <c r="C502" s="35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</row>
    <row r="503">
      <c r="A503" s="35"/>
      <c r="B503" s="35"/>
      <c r="C503" s="35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</row>
    <row r="504">
      <c r="A504" s="35"/>
      <c r="B504" s="35"/>
      <c r="C504" s="35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</row>
    <row r="505">
      <c r="A505" s="35"/>
      <c r="B505" s="35"/>
      <c r="C505" s="35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</row>
    <row r="506">
      <c r="A506" s="35"/>
      <c r="B506" s="35"/>
      <c r="C506" s="35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</row>
    <row r="507">
      <c r="A507" s="35"/>
      <c r="B507" s="35"/>
      <c r="C507" s="35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</row>
    <row r="508">
      <c r="A508" s="35"/>
      <c r="B508" s="35"/>
      <c r="C508" s="35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</row>
    <row r="509">
      <c r="A509" s="35"/>
      <c r="B509" s="35"/>
      <c r="C509" s="35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</row>
    <row r="510">
      <c r="A510" s="35"/>
      <c r="B510" s="35"/>
      <c r="C510" s="35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</row>
    <row r="511">
      <c r="A511" s="35"/>
      <c r="B511" s="35"/>
      <c r="C511" s="35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</row>
    <row r="512">
      <c r="A512" s="35"/>
      <c r="B512" s="35"/>
      <c r="C512" s="35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</row>
    <row r="513">
      <c r="A513" s="35"/>
      <c r="B513" s="35"/>
      <c r="C513" s="35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</row>
    <row r="514">
      <c r="A514" s="35"/>
      <c r="B514" s="35"/>
      <c r="C514" s="35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</row>
    <row r="515">
      <c r="A515" s="35"/>
      <c r="B515" s="35"/>
      <c r="C515" s="35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</row>
    <row r="516">
      <c r="A516" s="35"/>
      <c r="B516" s="35"/>
      <c r="C516" s="35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</row>
    <row r="517">
      <c r="A517" s="35"/>
      <c r="B517" s="35"/>
      <c r="C517" s="35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</row>
    <row r="518">
      <c r="A518" s="35"/>
      <c r="B518" s="35"/>
      <c r="C518" s="35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</row>
    <row r="519">
      <c r="A519" s="35"/>
      <c r="B519" s="35"/>
      <c r="C519" s="35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</row>
    <row r="520">
      <c r="A520" s="35"/>
      <c r="B520" s="35"/>
      <c r="C520" s="35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</row>
    <row r="521">
      <c r="A521" s="35"/>
      <c r="B521" s="35"/>
      <c r="C521" s="35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</row>
    <row r="522">
      <c r="A522" s="35"/>
      <c r="B522" s="35"/>
      <c r="C522" s="35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</row>
    <row r="523">
      <c r="A523" s="35"/>
      <c r="B523" s="35"/>
      <c r="C523" s="35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</row>
    <row r="524">
      <c r="A524" s="35"/>
      <c r="B524" s="35"/>
      <c r="C524" s="35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</row>
    <row r="525">
      <c r="A525" s="35"/>
      <c r="B525" s="35"/>
      <c r="C525" s="35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</row>
    <row r="526">
      <c r="A526" s="35"/>
      <c r="B526" s="35"/>
      <c r="C526" s="35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</row>
    <row r="527">
      <c r="A527" s="35"/>
      <c r="B527" s="35"/>
      <c r="C527" s="35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</row>
    <row r="528">
      <c r="A528" s="35"/>
      <c r="B528" s="35"/>
      <c r="C528" s="35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</row>
    <row r="529">
      <c r="A529" s="35"/>
      <c r="B529" s="35"/>
      <c r="C529" s="35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</row>
    <row r="530">
      <c r="A530" s="35"/>
      <c r="B530" s="35"/>
      <c r="C530" s="35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</row>
    <row r="531">
      <c r="A531" s="35"/>
      <c r="B531" s="35"/>
      <c r="C531" s="35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</row>
    <row r="532">
      <c r="A532" s="35"/>
      <c r="B532" s="35"/>
      <c r="C532" s="35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</row>
    <row r="533">
      <c r="A533" s="35"/>
      <c r="B533" s="35"/>
      <c r="C533" s="35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</row>
    <row r="534">
      <c r="A534" s="35"/>
      <c r="B534" s="35"/>
      <c r="C534" s="35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</row>
    <row r="535">
      <c r="A535" s="35"/>
      <c r="B535" s="35"/>
      <c r="C535" s="35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</row>
    <row r="536">
      <c r="A536" s="35"/>
      <c r="B536" s="35"/>
      <c r="C536" s="35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</row>
    <row r="537">
      <c r="A537" s="35"/>
      <c r="B537" s="35"/>
      <c r="C537" s="35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</row>
    <row r="538">
      <c r="A538" s="35"/>
      <c r="B538" s="35"/>
      <c r="C538" s="35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</row>
    <row r="539">
      <c r="A539" s="35"/>
      <c r="B539" s="35"/>
      <c r="C539" s="35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</row>
    <row r="540">
      <c r="A540" s="35"/>
      <c r="B540" s="35"/>
      <c r="C540" s="35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</row>
    <row r="541">
      <c r="A541" s="35"/>
      <c r="B541" s="35"/>
      <c r="C541" s="35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</row>
    <row r="542">
      <c r="A542" s="35"/>
      <c r="B542" s="35"/>
      <c r="C542" s="35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</row>
    <row r="543">
      <c r="A543" s="35"/>
      <c r="B543" s="35"/>
      <c r="C543" s="35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</row>
    <row r="544">
      <c r="A544" s="35"/>
      <c r="B544" s="35"/>
      <c r="C544" s="35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</row>
    <row r="545">
      <c r="A545" s="35"/>
      <c r="B545" s="35"/>
      <c r="C545" s="35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</row>
    <row r="546">
      <c r="A546" s="35"/>
      <c r="B546" s="35"/>
      <c r="C546" s="35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</row>
    <row r="547">
      <c r="A547" s="35"/>
      <c r="B547" s="35"/>
      <c r="C547" s="35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</row>
    <row r="548">
      <c r="A548" s="35"/>
      <c r="B548" s="35"/>
      <c r="C548" s="35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</row>
    <row r="549">
      <c r="A549" s="35"/>
      <c r="B549" s="35"/>
      <c r="C549" s="35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</row>
    <row r="550">
      <c r="A550" s="35"/>
      <c r="B550" s="35"/>
      <c r="C550" s="35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</row>
    <row r="551">
      <c r="A551" s="35"/>
      <c r="B551" s="35"/>
      <c r="C551" s="35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</row>
    <row r="552">
      <c r="A552" s="35"/>
      <c r="B552" s="35"/>
      <c r="C552" s="35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</row>
    <row r="553">
      <c r="A553" s="35"/>
      <c r="B553" s="35"/>
      <c r="C553" s="35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</row>
    <row r="554">
      <c r="A554" s="35"/>
      <c r="B554" s="35"/>
      <c r="C554" s="35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</row>
    <row r="555">
      <c r="A555" s="35"/>
      <c r="B555" s="35"/>
      <c r="C555" s="35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</row>
    <row r="556">
      <c r="A556" s="35"/>
      <c r="B556" s="35"/>
      <c r="C556" s="35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</row>
    <row r="557">
      <c r="A557" s="35"/>
      <c r="B557" s="35"/>
      <c r="C557" s="35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</row>
    <row r="558">
      <c r="A558" s="35"/>
      <c r="B558" s="35"/>
      <c r="C558" s="35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</row>
    <row r="559">
      <c r="A559" s="35"/>
      <c r="B559" s="35"/>
      <c r="C559" s="35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</row>
    <row r="560">
      <c r="A560" s="35"/>
      <c r="B560" s="35"/>
      <c r="C560" s="35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</row>
    <row r="561">
      <c r="A561" s="35"/>
      <c r="B561" s="35"/>
      <c r="C561" s="35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</row>
    <row r="562">
      <c r="A562" s="35"/>
      <c r="B562" s="35"/>
      <c r="C562" s="35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</row>
    <row r="563">
      <c r="A563" s="35"/>
      <c r="B563" s="35"/>
      <c r="C563" s="35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</row>
    <row r="564">
      <c r="A564" s="35"/>
      <c r="B564" s="35"/>
      <c r="C564" s="35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</row>
    <row r="565">
      <c r="A565" s="35"/>
      <c r="B565" s="35"/>
      <c r="C565" s="35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</row>
    <row r="566">
      <c r="A566" s="35"/>
      <c r="B566" s="35"/>
      <c r="C566" s="35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</row>
    <row r="567">
      <c r="A567" s="35"/>
      <c r="B567" s="35"/>
      <c r="C567" s="35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</row>
    <row r="568">
      <c r="A568" s="35"/>
      <c r="B568" s="35"/>
      <c r="C568" s="35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</row>
    <row r="569">
      <c r="A569" s="35"/>
      <c r="B569" s="35"/>
      <c r="C569" s="35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</row>
    <row r="570">
      <c r="A570" s="35"/>
      <c r="B570" s="35"/>
      <c r="C570" s="35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</row>
    <row r="571">
      <c r="A571" s="35"/>
      <c r="B571" s="35"/>
      <c r="C571" s="35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</row>
    <row r="572">
      <c r="A572" s="35"/>
      <c r="B572" s="35"/>
      <c r="C572" s="35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</row>
    <row r="573">
      <c r="A573" s="35"/>
      <c r="B573" s="35"/>
      <c r="C573" s="35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</row>
    <row r="574">
      <c r="A574" s="35"/>
      <c r="B574" s="35"/>
      <c r="C574" s="35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</row>
    <row r="575">
      <c r="A575" s="35"/>
      <c r="B575" s="35"/>
      <c r="C575" s="35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</row>
    <row r="576">
      <c r="A576" s="35"/>
      <c r="B576" s="35"/>
      <c r="C576" s="35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</row>
    <row r="577">
      <c r="A577" s="35"/>
      <c r="B577" s="35"/>
      <c r="C577" s="35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</row>
    <row r="578">
      <c r="A578" s="35"/>
      <c r="B578" s="35"/>
      <c r="C578" s="35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</row>
    <row r="579">
      <c r="A579" s="35"/>
      <c r="B579" s="35"/>
      <c r="C579" s="35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</row>
    <row r="580">
      <c r="A580" s="35"/>
      <c r="B580" s="35"/>
      <c r="C580" s="35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</row>
    <row r="581">
      <c r="A581" s="35"/>
      <c r="B581" s="35"/>
      <c r="C581" s="35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</row>
    <row r="582">
      <c r="A582" s="35"/>
      <c r="B582" s="35"/>
      <c r="C582" s="35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</row>
    <row r="583">
      <c r="A583" s="35"/>
      <c r="B583" s="35"/>
      <c r="C583" s="35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</row>
    <row r="584">
      <c r="A584" s="35"/>
      <c r="B584" s="35"/>
      <c r="C584" s="35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</row>
    <row r="585">
      <c r="A585" s="35"/>
      <c r="B585" s="35"/>
      <c r="C585" s="35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</row>
    <row r="586">
      <c r="A586" s="35"/>
      <c r="B586" s="35"/>
      <c r="C586" s="35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</row>
    <row r="587">
      <c r="A587" s="35"/>
      <c r="B587" s="35"/>
      <c r="C587" s="35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</row>
    <row r="588">
      <c r="A588" s="35"/>
      <c r="B588" s="35"/>
      <c r="C588" s="35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</row>
    <row r="589">
      <c r="A589" s="35"/>
      <c r="B589" s="35"/>
      <c r="C589" s="35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</row>
    <row r="590">
      <c r="A590" s="35"/>
      <c r="B590" s="35"/>
      <c r="C590" s="35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</row>
    <row r="591">
      <c r="A591" s="35"/>
      <c r="B591" s="35"/>
      <c r="C591" s="35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</row>
    <row r="592">
      <c r="A592" s="35"/>
      <c r="B592" s="35"/>
      <c r="C592" s="35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</row>
    <row r="593">
      <c r="A593" s="35"/>
      <c r="B593" s="35"/>
      <c r="C593" s="35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</row>
    <row r="594">
      <c r="A594" s="35"/>
      <c r="B594" s="35"/>
      <c r="C594" s="35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</row>
    <row r="595">
      <c r="A595" s="35"/>
      <c r="B595" s="35"/>
      <c r="C595" s="35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</row>
    <row r="596">
      <c r="A596" s="35"/>
      <c r="B596" s="35"/>
      <c r="C596" s="35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</row>
    <row r="597">
      <c r="A597" s="35"/>
      <c r="B597" s="35"/>
      <c r="C597" s="35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</row>
    <row r="598">
      <c r="A598" s="35"/>
      <c r="B598" s="35"/>
      <c r="C598" s="35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</row>
    <row r="599">
      <c r="A599" s="35"/>
      <c r="B599" s="35"/>
      <c r="C599" s="35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</row>
    <row r="600">
      <c r="A600" s="35"/>
      <c r="B600" s="35"/>
      <c r="C600" s="35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</row>
    <row r="601">
      <c r="A601" s="35"/>
      <c r="B601" s="35"/>
      <c r="C601" s="35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</row>
    <row r="602">
      <c r="A602" s="35"/>
      <c r="B602" s="35"/>
      <c r="C602" s="35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</row>
    <row r="603">
      <c r="A603" s="35"/>
      <c r="B603" s="35"/>
      <c r="C603" s="35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</row>
    <row r="604">
      <c r="A604" s="35"/>
      <c r="B604" s="35"/>
      <c r="C604" s="35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</row>
    <row r="605">
      <c r="A605" s="35"/>
      <c r="B605" s="35"/>
      <c r="C605" s="35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</row>
    <row r="606">
      <c r="A606" s="35"/>
      <c r="B606" s="35"/>
      <c r="C606" s="35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</row>
    <row r="607">
      <c r="A607" s="35"/>
      <c r="B607" s="35"/>
      <c r="C607" s="35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</row>
    <row r="608">
      <c r="A608" s="35"/>
      <c r="B608" s="35"/>
      <c r="C608" s="35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</row>
    <row r="609">
      <c r="A609" s="35"/>
      <c r="B609" s="35"/>
      <c r="C609" s="35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</row>
    <row r="610">
      <c r="A610" s="35"/>
      <c r="B610" s="35"/>
      <c r="C610" s="35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</row>
    <row r="611">
      <c r="A611" s="35"/>
      <c r="B611" s="35"/>
      <c r="C611" s="35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</row>
    <row r="612">
      <c r="A612" s="35"/>
      <c r="B612" s="35"/>
      <c r="C612" s="35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</row>
    <row r="613">
      <c r="A613" s="35"/>
      <c r="B613" s="35"/>
      <c r="C613" s="35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</row>
    <row r="614">
      <c r="A614" s="35"/>
      <c r="B614" s="35"/>
      <c r="C614" s="35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</row>
    <row r="615">
      <c r="A615" s="35"/>
      <c r="B615" s="35"/>
      <c r="C615" s="35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</row>
    <row r="616">
      <c r="A616" s="35"/>
      <c r="B616" s="35"/>
      <c r="C616" s="35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</row>
    <row r="617">
      <c r="A617" s="35"/>
      <c r="B617" s="35"/>
      <c r="C617" s="35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</row>
    <row r="618">
      <c r="A618" s="35"/>
      <c r="B618" s="35"/>
      <c r="C618" s="35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</row>
    <row r="619">
      <c r="A619" s="35"/>
      <c r="B619" s="35"/>
      <c r="C619" s="35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</row>
    <row r="620">
      <c r="A620" s="35"/>
      <c r="B620" s="35"/>
      <c r="C620" s="35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</row>
    <row r="621">
      <c r="A621" s="35"/>
      <c r="B621" s="35"/>
      <c r="C621" s="35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</row>
    <row r="622">
      <c r="A622" s="35"/>
      <c r="B622" s="35"/>
      <c r="C622" s="35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</row>
    <row r="623">
      <c r="A623" s="35"/>
      <c r="B623" s="35"/>
      <c r="C623" s="35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</row>
    <row r="624">
      <c r="A624" s="35"/>
      <c r="B624" s="35"/>
      <c r="C624" s="35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</row>
    <row r="625">
      <c r="A625" s="35"/>
      <c r="B625" s="35"/>
      <c r="C625" s="35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</row>
    <row r="626">
      <c r="A626" s="35"/>
      <c r="B626" s="35"/>
      <c r="C626" s="35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</row>
    <row r="627">
      <c r="A627" s="35"/>
      <c r="B627" s="35"/>
      <c r="C627" s="35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</row>
    <row r="628">
      <c r="A628" s="35"/>
      <c r="B628" s="35"/>
      <c r="C628" s="35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</row>
    <row r="629">
      <c r="A629" s="35"/>
      <c r="B629" s="35"/>
      <c r="C629" s="35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</row>
    <row r="630">
      <c r="A630" s="35"/>
      <c r="B630" s="35"/>
      <c r="C630" s="35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</row>
    <row r="631">
      <c r="A631" s="35"/>
      <c r="B631" s="35"/>
      <c r="C631" s="35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</row>
    <row r="632">
      <c r="A632" s="35"/>
      <c r="B632" s="35"/>
      <c r="C632" s="35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</row>
    <row r="633">
      <c r="A633" s="35"/>
      <c r="B633" s="35"/>
      <c r="C633" s="35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</row>
    <row r="634">
      <c r="A634" s="35"/>
      <c r="B634" s="35"/>
      <c r="C634" s="35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</row>
    <row r="635">
      <c r="A635" s="35"/>
      <c r="B635" s="35"/>
      <c r="C635" s="35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</row>
    <row r="636">
      <c r="A636" s="35"/>
      <c r="B636" s="35"/>
      <c r="C636" s="35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</row>
    <row r="637">
      <c r="A637" s="35"/>
      <c r="B637" s="35"/>
      <c r="C637" s="35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</row>
    <row r="638">
      <c r="A638" s="35"/>
      <c r="B638" s="35"/>
      <c r="C638" s="35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</row>
    <row r="639">
      <c r="A639" s="35"/>
      <c r="B639" s="35"/>
      <c r="C639" s="35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</row>
    <row r="640">
      <c r="A640" s="35"/>
      <c r="B640" s="35"/>
      <c r="C640" s="35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</row>
    <row r="641">
      <c r="A641" s="35"/>
      <c r="B641" s="35"/>
      <c r="C641" s="35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</row>
    <row r="642">
      <c r="A642" s="35"/>
      <c r="B642" s="35"/>
      <c r="C642" s="35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</row>
    <row r="643">
      <c r="A643" s="35"/>
      <c r="B643" s="35"/>
      <c r="C643" s="35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</row>
    <row r="644">
      <c r="A644" s="35"/>
      <c r="B644" s="35"/>
      <c r="C644" s="35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</row>
    <row r="645">
      <c r="A645" s="35"/>
      <c r="B645" s="35"/>
      <c r="C645" s="35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</row>
    <row r="646">
      <c r="A646" s="35"/>
      <c r="B646" s="35"/>
      <c r="C646" s="35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</row>
    <row r="647">
      <c r="A647" s="35"/>
      <c r="B647" s="35"/>
      <c r="C647" s="35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</row>
    <row r="648">
      <c r="A648" s="35"/>
      <c r="B648" s="35"/>
      <c r="C648" s="35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</row>
    <row r="649">
      <c r="A649" s="35"/>
      <c r="B649" s="35"/>
      <c r="C649" s="35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</row>
    <row r="650">
      <c r="A650" s="35"/>
      <c r="B650" s="35"/>
      <c r="C650" s="35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</row>
    <row r="651">
      <c r="A651" s="35"/>
      <c r="B651" s="35"/>
      <c r="C651" s="35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</row>
    <row r="652">
      <c r="A652" s="35"/>
      <c r="B652" s="35"/>
      <c r="C652" s="35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</row>
    <row r="653">
      <c r="A653" s="35"/>
      <c r="B653" s="35"/>
      <c r="C653" s="35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</row>
    <row r="654">
      <c r="A654" s="35"/>
      <c r="B654" s="35"/>
      <c r="C654" s="35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</row>
    <row r="655">
      <c r="A655" s="35"/>
      <c r="B655" s="35"/>
      <c r="C655" s="35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</row>
    <row r="656">
      <c r="A656" s="35"/>
      <c r="B656" s="35"/>
      <c r="C656" s="35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</row>
    <row r="657">
      <c r="A657" s="35"/>
      <c r="B657" s="35"/>
      <c r="C657" s="35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</row>
    <row r="658">
      <c r="A658" s="35"/>
      <c r="B658" s="35"/>
      <c r="C658" s="35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</row>
    <row r="659">
      <c r="A659" s="35"/>
      <c r="B659" s="35"/>
      <c r="C659" s="35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</row>
    <row r="660">
      <c r="A660" s="35"/>
      <c r="B660" s="35"/>
      <c r="C660" s="35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</row>
    <row r="661">
      <c r="A661" s="35"/>
      <c r="B661" s="35"/>
      <c r="C661" s="35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</row>
    <row r="662">
      <c r="A662" s="35"/>
      <c r="B662" s="35"/>
      <c r="C662" s="35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</row>
    <row r="663">
      <c r="A663" s="35"/>
      <c r="B663" s="35"/>
      <c r="C663" s="35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</row>
    <row r="664">
      <c r="A664" s="35"/>
      <c r="B664" s="35"/>
      <c r="C664" s="35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</row>
    <row r="665">
      <c r="A665" s="35"/>
      <c r="B665" s="35"/>
      <c r="C665" s="35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</row>
    <row r="666">
      <c r="A666" s="35"/>
      <c r="B666" s="35"/>
      <c r="C666" s="35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</row>
    <row r="667">
      <c r="A667" s="35"/>
      <c r="B667" s="35"/>
      <c r="C667" s="35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</row>
    <row r="668">
      <c r="A668" s="35"/>
      <c r="B668" s="35"/>
      <c r="C668" s="35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</row>
    <row r="669">
      <c r="A669" s="35"/>
      <c r="B669" s="35"/>
      <c r="C669" s="35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</row>
    <row r="670">
      <c r="A670" s="35"/>
      <c r="B670" s="35"/>
      <c r="C670" s="35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</row>
    <row r="671">
      <c r="A671" s="35"/>
      <c r="B671" s="35"/>
      <c r="C671" s="35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</row>
    <row r="672">
      <c r="A672" s="35"/>
      <c r="B672" s="35"/>
      <c r="C672" s="35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</row>
    <row r="673">
      <c r="A673" s="35"/>
      <c r="B673" s="35"/>
      <c r="C673" s="35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</row>
    <row r="674">
      <c r="A674" s="35"/>
      <c r="B674" s="35"/>
      <c r="C674" s="35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</row>
    <row r="675">
      <c r="A675" s="35"/>
      <c r="B675" s="35"/>
      <c r="C675" s="35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</row>
    <row r="676">
      <c r="A676" s="35"/>
      <c r="B676" s="35"/>
      <c r="C676" s="35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</row>
    <row r="677">
      <c r="A677" s="35"/>
      <c r="B677" s="35"/>
      <c r="C677" s="35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</row>
    <row r="678">
      <c r="A678" s="35"/>
      <c r="B678" s="35"/>
      <c r="C678" s="35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</row>
    <row r="679">
      <c r="A679" s="35"/>
      <c r="B679" s="35"/>
      <c r="C679" s="35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</row>
    <row r="680">
      <c r="A680" s="35"/>
      <c r="B680" s="35"/>
      <c r="C680" s="35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</row>
    <row r="681">
      <c r="A681" s="35"/>
      <c r="B681" s="35"/>
      <c r="C681" s="35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</row>
    <row r="682">
      <c r="A682" s="35"/>
      <c r="B682" s="35"/>
      <c r="C682" s="35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</row>
    <row r="683">
      <c r="A683" s="35"/>
      <c r="B683" s="35"/>
      <c r="C683" s="35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</row>
    <row r="684">
      <c r="A684" s="35"/>
      <c r="B684" s="35"/>
      <c r="C684" s="35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</row>
    <row r="685">
      <c r="A685" s="35"/>
      <c r="B685" s="35"/>
      <c r="C685" s="35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</row>
    <row r="686">
      <c r="A686" s="35"/>
      <c r="B686" s="35"/>
      <c r="C686" s="35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</row>
    <row r="687">
      <c r="A687" s="35"/>
      <c r="B687" s="35"/>
      <c r="C687" s="35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</row>
    <row r="688">
      <c r="A688" s="35"/>
      <c r="B688" s="35"/>
      <c r="C688" s="35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</row>
    <row r="689">
      <c r="A689" s="35"/>
      <c r="B689" s="35"/>
      <c r="C689" s="35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</row>
    <row r="690">
      <c r="A690" s="35"/>
      <c r="B690" s="35"/>
      <c r="C690" s="35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</row>
    <row r="691">
      <c r="A691" s="35"/>
      <c r="B691" s="35"/>
      <c r="C691" s="35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</row>
    <row r="692">
      <c r="A692" s="35"/>
      <c r="B692" s="35"/>
      <c r="C692" s="35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</row>
    <row r="693">
      <c r="A693" s="35"/>
      <c r="B693" s="35"/>
      <c r="C693" s="35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</row>
    <row r="694">
      <c r="A694" s="35"/>
      <c r="B694" s="35"/>
      <c r="C694" s="35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</row>
    <row r="695">
      <c r="A695" s="35"/>
      <c r="B695" s="35"/>
      <c r="C695" s="35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</row>
    <row r="696">
      <c r="A696" s="35"/>
      <c r="B696" s="35"/>
      <c r="C696" s="35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</row>
    <row r="697">
      <c r="A697" s="35"/>
      <c r="B697" s="35"/>
      <c r="C697" s="35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</row>
    <row r="698">
      <c r="A698" s="35"/>
      <c r="B698" s="35"/>
      <c r="C698" s="35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</row>
    <row r="699">
      <c r="A699" s="35"/>
      <c r="B699" s="35"/>
      <c r="C699" s="35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</row>
    <row r="700">
      <c r="A700" s="35"/>
      <c r="B700" s="35"/>
      <c r="C700" s="35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</row>
    <row r="701">
      <c r="A701" s="35"/>
      <c r="B701" s="35"/>
      <c r="C701" s="35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</row>
    <row r="702">
      <c r="A702" s="35"/>
      <c r="B702" s="35"/>
      <c r="C702" s="35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</row>
    <row r="703">
      <c r="A703" s="35"/>
      <c r="B703" s="35"/>
      <c r="C703" s="35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</row>
    <row r="704">
      <c r="A704" s="35"/>
      <c r="B704" s="35"/>
      <c r="C704" s="35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</row>
    <row r="705">
      <c r="A705" s="35"/>
      <c r="B705" s="35"/>
      <c r="C705" s="35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</row>
    <row r="706">
      <c r="A706" s="35"/>
      <c r="B706" s="35"/>
      <c r="C706" s="35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</row>
    <row r="707">
      <c r="A707" s="35"/>
      <c r="B707" s="35"/>
      <c r="C707" s="35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</row>
    <row r="708">
      <c r="A708" s="35"/>
      <c r="B708" s="35"/>
      <c r="C708" s="35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</row>
    <row r="709">
      <c r="A709" s="35"/>
      <c r="B709" s="35"/>
      <c r="C709" s="35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</row>
    <row r="710">
      <c r="A710" s="35"/>
      <c r="B710" s="35"/>
      <c r="C710" s="35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</row>
    <row r="711">
      <c r="A711" s="35"/>
      <c r="B711" s="35"/>
      <c r="C711" s="35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</row>
    <row r="712">
      <c r="A712" s="35"/>
      <c r="B712" s="35"/>
      <c r="C712" s="35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</row>
    <row r="713">
      <c r="A713" s="35"/>
      <c r="B713" s="35"/>
      <c r="C713" s="35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</row>
    <row r="714">
      <c r="A714" s="35"/>
      <c r="B714" s="35"/>
      <c r="C714" s="35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</row>
    <row r="715">
      <c r="A715" s="35"/>
      <c r="B715" s="35"/>
      <c r="C715" s="35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</row>
    <row r="716">
      <c r="A716" s="35"/>
      <c r="B716" s="35"/>
      <c r="C716" s="35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</row>
    <row r="717">
      <c r="A717" s="35"/>
      <c r="B717" s="35"/>
      <c r="C717" s="35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</row>
    <row r="718">
      <c r="A718" s="35"/>
      <c r="B718" s="35"/>
      <c r="C718" s="35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</row>
    <row r="719">
      <c r="A719" s="35"/>
      <c r="B719" s="35"/>
      <c r="C719" s="35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</row>
    <row r="720">
      <c r="A720" s="35"/>
      <c r="B720" s="35"/>
      <c r="C720" s="35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</row>
    <row r="721">
      <c r="A721" s="35"/>
      <c r="B721" s="35"/>
      <c r="C721" s="35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</row>
    <row r="722">
      <c r="A722" s="35"/>
      <c r="B722" s="35"/>
      <c r="C722" s="35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</row>
    <row r="723">
      <c r="A723" s="35"/>
      <c r="B723" s="35"/>
      <c r="C723" s="35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</row>
    <row r="724">
      <c r="A724" s="35"/>
      <c r="B724" s="35"/>
      <c r="C724" s="35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</row>
    <row r="725">
      <c r="A725" s="35"/>
      <c r="B725" s="35"/>
      <c r="C725" s="35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</row>
    <row r="726">
      <c r="A726" s="35"/>
      <c r="B726" s="35"/>
      <c r="C726" s="35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</row>
    <row r="727">
      <c r="A727" s="35"/>
      <c r="B727" s="35"/>
      <c r="C727" s="35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</row>
    <row r="728">
      <c r="A728" s="35"/>
      <c r="B728" s="35"/>
      <c r="C728" s="35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</row>
    <row r="729">
      <c r="A729" s="35"/>
      <c r="B729" s="35"/>
      <c r="C729" s="35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</row>
    <row r="730">
      <c r="A730" s="35"/>
      <c r="B730" s="35"/>
      <c r="C730" s="35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</row>
    <row r="731">
      <c r="A731" s="35"/>
      <c r="B731" s="35"/>
      <c r="C731" s="35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</row>
    <row r="732">
      <c r="A732" s="35"/>
      <c r="B732" s="35"/>
      <c r="C732" s="35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</row>
    <row r="733">
      <c r="A733" s="35"/>
      <c r="B733" s="35"/>
      <c r="C733" s="35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</row>
    <row r="734">
      <c r="A734" s="35"/>
      <c r="B734" s="35"/>
      <c r="C734" s="35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</row>
    <row r="735">
      <c r="A735" s="35"/>
      <c r="B735" s="35"/>
      <c r="C735" s="35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</row>
    <row r="736">
      <c r="A736" s="35"/>
      <c r="B736" s="35"/>
      <c r="C736" s="35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</row>
    <row r="737">
      <c r="A737" s="35"/>
      <c r="B737" s="35"/>
      <c r="C737" s="35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</row>
    <row r="738">
      <c r="A738" s="35"/>
      <c r="B738" s="35"/>
      <c r="C738" s="35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</row>
    <row r="739">
      <c r="A739" s="35"/>
      <c r="B739" s="35"/>
      <c r="C739" s="35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</row>
    <row r="740">
      <c r="A740" s="35"/>
      <c r="B740" s="35"/>
      <c r="C740" s="35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</row>
    <row r="741">
      <c r="A741" s="35"/>
      <c r="B741" s="35"/>
      <c r="C741" s="35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</row>
    <row r="742">
      <c r="A742" s="35"/>
      <c r="B742" s="35"/>
      <c r="C742" s="35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</row>
    <row r="743">
      <c r="A743" s="35"/>
      <c r="B743" s="35"/>
      <c r="C743" s="35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</row>
    <row r="744">
      <c r="A744" s="35"/>
      <c r="B744" s="35"/>
      <c r="C744" s="35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</row>
    <row r="745">
      <c r="A745" s="35"/>
      <c r="B745" s="35"/>
      <c r="C745" s="35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</row>
    <row r="746">
      <c r="A746" s="35"/>
      <c r="B746" s="35"/>
      <c r="C746" s="35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</row>
    <row r="747">
      <c r="A747" s="35"/>
      <c r="B747" s="35"/>
      <c r="C747" s="35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</row>
    <row r="748">
      <c r="A748" s="35"/>
      <c r="B748" s="35"/>
      <c r="C748" s="35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</row>
    <row r="749">
      <c r="A749" s="35"/>
      <c r="B749" s="35"/>
      <c r="C749" s="35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</row>
    <row r="750">
      <c r="A750" s="35"/>
      <c r="B750" s="35"/>
      <c r="C750" s="35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</row>
    <row r="751">
      <c r="A751" s="35"/>
      <c r="B751" s="35"/>
      <c r="C751" s="35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</row>
    <row r="752">
      <c r="A752" s="35"/>
      <c r="B752" s="35"/>
      <c r="C752" s="35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</row>
    <row r="753">
      <c r="A753" s="35"/>
      <c r="B753" s="35"/>
      <c r="C753" s="35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</row>
    <row r="754">
      <c r="A754" s="35"/>
      <c r="B754" s="35"/>
      <c r="C754" s="35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</row>
    <row r="755">
      <c r="A755" s="35"/>
      <c r="B755" s="35"/>
      <c r="C755" s="35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</row>
    <row r="756">
      <c r="A756" s="35"/>
      <c r="B756" s="35"/>
      <c r="C756" s="35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</row>
    <row r="757">
      <c r="A757" s="35"/>
      <c r="B757" s="35"/>
      <c r="C757" s="35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</row>
    <row r="758">
      <c r="A758" s="35"/>
      <c r="B758" s="35"/>
      <c r="C758" s="35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</row>
    <row r="759">
      <c r="A759" s="35"/>
      <c r="B759" s="35"/>
      <c r="C759" s="35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</row>
    <row r="760">
      <c r="A760" s="35"/>
      <c r="B760" s="35"/>
      <c r="C760" s="35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</row>
    <row r="761">
      <c r="A761" s="35"/>
      <c r="B761" s="35"/>
      <c r="C761" s="35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</row>
    <row r="762">
      <c r="A762" s="35"/>
      <c r="B762" s="35"/>
      <c r="C762" s="35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</row>
    <row r="763">
      <c r="A763" s="35"/>
      <c r="B763" s="35"/>
      <c r="C763" s="35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</row>
    <row r="764">
      <c r="A764" s="35"/>
      <c r="B764" s="35"/>
      <c r="C764" s="35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</row>
    <row r="765">
      <c r="A765" s="35"/>
      <c r="B765" s="35"/>
      <c r="C765" s="35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</row>
    <row r="766">
      <c r="A766" s="35"/>
      <c r="B766" s="35"/>
      <c r="C766" s="35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</row>
    <row r="767">
      <c r="A767" s="35"/>
      <c r="B767" s="35"/>
      <c r="C767" s="35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</row>
    <row r="768">
      <c r="A768" s="35"/>
      <c r="B768" s="35"/>
      <c r="C768" s="35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</row>
    <row r="769">
      <c r="A769" s="35"/>
      <c r="B769" s="35"/>
      <c r="C769" s="35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</row>
    <row r="770">
      <c r="A770" s="35"/>
      <c r="B770" s="35"/>
      <c r="C770" s="35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</row>
    <row r="771">
      <c r="A771" s="35"/>
      <c r="B771" s="35"/>
      <c r="C771" s="35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</row>
    <row r="772">
      <c r="A772" s="35"/>
      <c r="B772" s="35"/>
      <c r="C772" s="35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</row>
    <row r="773">
      <c r="A773" s="35"/>
      <c r="B773" s="35"/>
      <c r="C773" s="35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</row>
    <row r="774">
      <c r="A774" s="35"/>
      <c r="B774" s="35"/>
      <c r="C774" s="35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</row>
    <row r="775">
      <c r="A775" s="35"/>
      <c r="B775" s="35"/>
      <c r="C775" s="35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</row>
    <row r="776">
      <c r="A776" s="35"/>
      <c r="B776" s="35"/>
      <c r="C776" s="35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</row>
    <row r="777">
      <c r="A777" s="35"/>
      <c r="B777" s="35"/>
      <c r="C777" s="35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</row>
    <row r="778">
      <c r="A778" s="35"/>
      <c r="B778" s="35"/>
      <c r="C778" s="35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</row>
    <row r="779">
      <c r="A779" s="35"/>
      <c r="B779" s="35"/>
      <c r="C779" s="35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</row>
    <row r="780">
      <c r="A780" s="35"/>
      <c r="B780" s="35"/>
      <c r="C780" s="35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</row>
    <row r="781">
      <c r="A781" s="35"/>
      <c r="B781" s="35"/>
      <c r="C781" s="35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</row>
    <row r="782">
      <c r="A782" s="35"/>
      <c r="B782" s="35"/>
      <c r="C782" s="35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</row>
    <row r="783">
      <c r="A783" s="35"/>
      <c r="B783" s="35"/>
      <c r="C783" s="35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</row>
    <row r="784">
      <c r="A784" s="35"/>
      <c r="B784" s="35"/>
      <c r="C784" s="35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</row>
    <row r="785">
      <c r="A785" s="35"/>
      <c r="B785" s="35"/>
      <c r="C785" s="35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</row>
    <row r="786">
      <c r="A786" s="35"/>
      <c r="B786" s="35"/>
      <c r="C786" s="35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</row>
    <row r="787">
      <c r="A787" s="35"/>
      <c r="B787" s="35"/>
      <c r="C787" s="35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</row>
    <row r="788">
      <c r="A788" s="35"/>
      <c r="B788" s="35"/>
      <c r="C788" s="35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</row>
    <row r="789">
      <c r="A789" s="35"/>
      <c r="B789" s="35"/>
      <c r="C789" s="35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</row>
    <row r="790">
      <c r="A790" s="35"/>
      <c r="B790" s="35"/>
      <c r="C790" s="35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</row>
    <row r="791">
      <c r="A791" s="35"/>
      <c r="B791" s="35"/>
      <c r="C791" s="35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</row>
    <row r="792">
      <c r="A792" s="35"/>
      <c r="B792" s="35"/>
      <c r="C792" s="35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</row>
    <row r="793">
      <c r="A793" s="35"/>
      <c r="B793" s="35"/>
      <c r="C793" s="35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</row>
    <row r="794">
      <c r="A794" s="35"/>
      <c r="B794" s="35"/>
      <c r="C794" s="35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</row>
    <row r="795">
      <c r="A795" s="35"/>
      <c r="B795" s="35"/>
      <c r="C795" s="35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</row>
    <row r="796">
      <c r="A796" s="35"/>
      <c r="B796" s="35"/>
      <c r="C796" s="35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</row>
    <row r="797">
      <c r="A797" s="35"/>
      <c r="B797" s="35"/>
      <c r="C797" s="35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</row>
    <row r="798">
      <c r="A798" s="35"/>
      <c r="B798" s="35"/>
      <c r="C798" s="35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</row>
    <row r="799">
      <c r="A799" s="35"/>
      <c r="B799" s="35"/>
      <c r="C799" s="35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</row>
    <row r="800">
      <c r="A800" s="35"/>
      <c r="B800" s="35"/>
      <c r="C800" s="35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</row>
    <row r="801">
      <c r="A801" s="35"/>
      <c r="B801" s="35"/>
      <c r="C801" s="35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</row>
    <row r="802">
      <c r="A802" s="35"/>
      <c r="B802" s="35"/>
      <c r="C802" s="35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</row>
    <row r="803">
      <c r="A803" s="35"/>
      <c r="B803" s="35"/>
      <c r="C803" s="35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</row>
    <row r="804">
      <c r="A804" s="35"/>
      <c r="B804" s="35"/>
      <c r="C804" s="35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</row>
    <row r="805">
      <c r="A805" s="35"/>
      <c r="B805" s="35"/>
      <c r="C805" s="35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</row>
    <row r="806">
      <c r="A806" s="35"/>
      <c r="B806" s="35"/>
      <c r="C806" s="35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</row>
    <row r="807">
      <c r="A807" s="35"/>
      <c r="B807" s="35"/>
      <c r="C807" s="35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</row>
    <row r="808">
      <c r="A808" s="35"/>
      <c r="B808" s="35"/>
      <c r="C808" s="35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</row>
    <row r="809">
      <c r="A809" s="35"/>
      <c r="B809" s="35"/>
      <c r="C809" s="35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</row>
    <row r="810">
      <c r="A810" s="35"/>
      <c r="B810" s="35"/>
      <c r="C810" s="35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</row>
    <row r="811">
      <c r="A811" s="35"/>
      <c r="B811" s="35"/>
      <c r="C811" s="35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</row>
    <row r="812">
      <c r="A812" s="35"/>
      <c r="B812" s="35"/>
      <c r="C812" s="35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</row>
    <row r="813">
      <c r="A813" s="35"/>
      <c r="B813" s="35"/>
      <c r="C813" s="35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</row>
    <row r="814">
      <c r="A814" s="35"/>
      <c r="B814" s="35"/>
      <c r="C814" s="35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</row>
    <row r="815">
      <c r="A815" s="35"/>
      <c r="B815" s="35"/>
      <c r="C815" s="35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</row>
    <row r="816">
      <c r="A816" s="35"/>
      <c r="B816" s="35"/>
      <c r="C816" s="35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</row>
    <row r="817">
      <c r="A817" s="35"/>
      <c r="B817" s="35"/>
      <c r="C817" s="35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</row>
    <row r="818">
      <c r="A818" s="35"/>
      <c r="B818" s="35"/>
      <c r="C818" s="35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</row>
    <row r="819">
      <c r="A819" s="35"/>
      <c r="B819" s="35"/>
      <c r="C819" s="35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</row>
    <row r="820">
      <c r="A820" s="35"/>
      <c r="B820" s="35"/>
      <c r="C820" s="35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</row>
    <row r="821">
      <c r="A821" s="35"/>
      <c r="B821" s="35"/>
      <c r="C821" s="35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</row>
    <row r="822">
      <c r="A822" s="35"/>
      <c r="B822" s="35"/>
      <c r="C822" s="35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</row>
    <row r="823">
      <c r="A823" s="35"/>
      <c r="B823" s="35"/>
      <c r="C823" s="35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</row>
    <row r="824">
      <c r="A824" s="35"/>
      <c r="B824" s="35"/>
      <c r="C824" s="35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</row>
    <row r="825">
      <c r="A825" s="35"/>
      <c r="B825" s="35"/>
      <c r="C825" s="35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</row>
    <row r="826">
      <c r="A826" s="35"/>
      <c r="B826" s="35"/>
      <c r="C826" s="35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</row>
    <row r="827">
      <c r="A827" s="35"/>
      <c r="B827" s="35"/>
      <c r="C827" s="35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</row>
    <row r="828">
      <c r="A828" s="35"/>
      <c r="B828" s="35"/>
      <c r="C828" s="35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</row>
    <row r="829">
      <c r="A829" s="35"/>
      <c r="B829" s="35"/>
      <c r="C829" s="35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</row>
    <row r="830">
      <c r="A830" s="35"/>
      <c r="B830" s="35"/>
      <c r="C830" s="35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</row>
    <row r="831">
      <c r="A831" s="35"/>
      <c r="B831" s="35"/>
      <c r="C831" s="35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</row>
    <row r="832">
      <c r="A832" s="35"/>
      <c r="B832" s="35"/>
      <c r="C832" s="35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</row>
    <row r="833">
      <c r="A833" s="35"/>
      <c r="B833" s="35"/>
      <c r="C833" s="35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</row>
    <row r="834">
      <c r="A834" s="35"/>
      <c r="B834" s="35"/>
      <c r="C834" s="35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</row>
    <row r="835">
      <c r="A835" s="35"/>
      <c r="B835" s="35"/>
      <c r="C835" s="35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</row>
    <row r="836">
      <c r="A836" s="35"/>
      <c r="B836" s="35"/>
      <c r="C836" s="35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</row>
    <row r="837">
      <c r="A837" s="35"/>
      <c r="B837" s="35"/>
      <c r="C837" s="35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</row>
    <row r="838">
      <c r="A838" s="35"/>
      <c r="B838" s="35"/>
      <c r="C838" s="35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</row>
    <row r="839">
      <c r="A839" s="35"/>
      <c r="B839" s="35"/>
      <c r="C839" s="35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</row>
    <row r="840">
      <c r="A840" s="35"/>
      <c r="B840" s="35"/>
      <c r="C840" s="35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</row>
    <row r="841">
      <c r="A841" s="35"/>
      <c r="B841" s="35"/>
      <c r="C841" s="35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</row>
    <row r="842">
      <c r="A842" s="35"/>
      <c r="B842" s="35"/>
      <c r="C842" s="35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</row>
    <row r="843">
      <c r="A843" s="35"/>
      <c r="B843" s="35"/>
      <c r="C843" s="35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</row>
    <row r="844">
      <c r="A844" s="35"/>
      <c r="B844" s="35"/>
      <c r="C844" s="35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</row>
    <row r="845">
      <c r="A845" s="35"/>
      <c r="B845" s="35"/>
      <c r="C845" s="35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</row>
    <row r="846">
      <c r="A846" s="35"/>
      <c r="B846" s="35"/>
      <c r="C846" s="35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</row>
    <row r="847">
      <c r="A847" s="35"/>
      <c r="B847" s="35"/>
      <c r="C847" s="35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</row>
    <row r="848">
      <c r="A848" s="35"/>
      <c r="B848" s="35"/>
      <c r="C848" s="35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</row>
    <row r="849">
      <c r="A849" s="35"/>
      <c r="B849" s="35"/>
      <c r="C849" s="35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</row>
    <row r="850">
      <c r="A850" s="35"/>
      <c r="B850" s="35"/>
      <c r="C850" s="35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</row>
    <row r="851">
      <c r="A851" s="35"/>
      <c r="B851" s="35"/>
      <c r="C851" s="35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</row>
    <row r="852">
      <c r="A852" s="35"/>
      <c r="B852" s="35"/>
      <c r="C852" s="35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</row>
    <row r="853">
      <c r="A853" s="35"/>
      <c r="B853" s="35"/>
      <c r="C853" s="35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</row>
    <row r="854">
      <c r="A854" s="35"/>
      <c r="B854" s="35"/>
      <c r="C854" s="35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</row>
    <row r="855">
      <c r="A855" s="35"/>
      <c r="B855" s="35"/>
      <c r="C855" s="35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</row>
    <row r="856">
      <c r="A856" s="35"/>
      <c r="B856" s="35"/>
      <c r="C856" s="35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</row>
    <row r="857">
      <c r="A857" s="35"/>
      <c r="B857" s="35"/>
      <c r="C857" s="35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</row>
    <row r="858">
      <c r="A858" s="35"/>
      <c r="B858" s="35"/>
      <c r="C858" s="35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</row>
    <row r="859">
      <c r="A859" s="35"/>
      <c r="B859" s="35"/>
      <c r="C859" s="35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</row>
    <row r="860">
      <c r="A860" s="35"/>
      <c r="B860" s="35"/>
      <c r="C860" s="35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</row>
    <row r="861">
      <c r="A861" s="35"/>
      <c r="B861" s="35"/>
      <c r="C861" s="35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</row>
    <row r="862">
      <c r="A862" s="35"/>
      <c r="B862" s="35"/>
      <c r="C862" s="35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</row>
    <row r="863">
      <c r="A863" s="35"/>
      <c r="B863" s="35"/>
      <c r="C863" s="35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</row>
    <row r="864">
      <c r="A864" s="35"/>
      <c r="B864" s="35"/>
      <c r="C864" s="35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</row>
    <row r="865">
      <c r="A865" s="35"/>
      <c r="B865" s="35"/>
      <c r="C865" s="35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</row>
    <row r="866">
      <c r="A866" s="35"/>
      <c r="B866" s="35"/>
      <c r="C866" s="35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</row>
    <row r="867">
      <c r="A867" s="35"/>
      <c r="B867" s="35"/>
      <c r="C867" s="35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</row>
    <row r="868">
      <c r="A868" s="35"/>
      <c r="B868" s="35"/>
      <c r="C868" s="35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</row>
    <row r="869">
      <c r="A869" s="35"/>
      <c r="B869" s="35"/>
      <c r="C869" s="35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</row>
    <row r="870">
      <c r="A870" s="35"/>
      <c r="B870" s="35"/>
      <c r="C870" s="35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</row>
    <row r="871">
      <c r="A871" s="35"/>
      <c r="B871" s="35"/>
      <c r="C871" s="35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</row>
    <row r="872">
      <c r="A872" s="35"/>
      <c r="B872" s="35"/>
      <c r="C872" s="35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</row>
    <row r="873">
      <c r="A873" s="35"/>
      <c r="B873" s="35"/>
      <c r="C873" s="35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</row>
    <row r="874">
      <c r="A874" s="35"/>
      <c r="B874" s="35"/>
      <c r="C874" s="35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</row>
    <row r="875">
      <c r="A875" s="35"/>
      <c r="B875" s="35"/>
      <c r="C875" s="35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</row>
    <row r="876">
      <c r="A876" s="35"/>
      <c r="B876" s="35"/>
      <c r="C876" s="35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</row>
    <row r="877">
      <c r="A877" s="35"/>
      <c r="B877" s="35"/>
      <c r="C877" s="35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</row>
    <row r="878">
      <c r="A878" s="35"/>
      <c r="B878" s="35"/>
      <c r="C878" s="35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</row>
    <row r="879">
      <c r="A879" s="35"/>
      <c r="B879" s="35"/>
      <c r="C879" s="35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</row>
    <row r="880">
      <c r="A880" s="35"/>
      <c r="B880" s="35"/>
      <c r="C880" s="35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</row>
    <row r="881">
      <c r="A881" s="35"/>
      <c r="B881" s="35"/>
      <c r="C881" s="35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</row>
    <row r="882">
      <c r="A882" s="35"/>
      <c r="B882" s="35"/>
      <c r="C882" s="35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</row>
    <row r="883">
      <c r="A883" s="35"/>
      <c r="B883" s="35"/>
      <c r="C883" s="35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</row>
    <row r="884">
      <c r="A884" s="35"/>
      <c r="B884" s="35"/>
      <c r="C884" s="35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</row>
    <row r="885">
      <c r="A885" s="35"/>
      <c r="B885" s="35"/>
      <c r="C885" s="35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</row>
    <row r="886">
      <c r="A886" s="35"/>
      <c r="B886" s="35"/>
      <c r="C886" s="35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</row>
    <row r="887">
      <c r="A887" s="35"/>
      <c r="B887" s="35"/>
      <c r="C887" s="35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</row>
    <row r="888">
      <c r="A888" s="35"/>
      <c r="B888" s="35"/>
      <c r="C888" s="35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</row>
    <row r="889">
      <c r="A889" s="35"/>
      <c r="B889" s="35"/>
      <c r="C889" s="35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</row>
    <row r="890">
      <c r="A890" s="35"/>
      <c r="B890" s="35"/>
      <c r="C890" s="35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</row>
    <row r="891">
      <c r="A891" s="35"/>
      <c r="B891" s="35"/>
      <c r="C891" s="35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</row>
    <row r="892">
      <c r="A892" s="35"/>
      <c r="B892" s="35"/>
      <c r="C892" s="35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</row>
    <row r="893">
      <c r="A893" s="35"/>
      <c r="B893" s="35"/>
      <c r="C893" s="35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</row>
    <row r="894">
      <c r="A894" s="35"/>
      <c r="B894" s="35"/>
      <c r="C894" s="35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</row>
    <row r="895">
      <c r="A895" s="35"/>
      <c r="B895" s="35"/>
      <c r="C895" s="35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</row>
    <row r="896">
      <c r="A896" s="35"/>
      <c r="B896" s="35"/>
      <c r="C896" s="35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</row>
    <row r="897">
      <c r="A897" s="35"/>
      <c r="B897" s="35"/>
      <c r="C897" s="35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</row>
    <row r="898">
      <c r="A898" s="35"/>
      <c r="B898" s="35"/>
      <c r="C898" s="35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</row>
    <row r="899">
      <c r="A899" s="35"/>
      <c r="B899" s="35"/>
      <c r="C899" s="35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</row>
    <row r="900">
      <c r="A900" s="35"/>
      <c r="B900" s="35"/>
      <c r="C900" s="35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</row>
    <row r="901">
      <c r="A901" s="35"/>
      <c r="B901" s="35"/>
      <c r="C901" s="35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</row>
    <row r="902">
      <c r="A902" s="35"/>
      <c r="B902" s="35"/>
      <c r="C902" s="35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</row>
    <row r="903">
      <c r="A903" s="35"/>
      <c r="B903" s="35"/>
      <c r="C903" s="35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</row>
    <row r="904">
      <c r="A904" s="35"/>
      <c r="B904" s="35"/>
      <c r="C904" s="35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</row>
    <row r="905">
      <c r="A905" s="35"/>
      <c r="B905" s="35"/>
      <c r="C905" s="35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</row>
    <row r="906">
      <c r="A906" s="35"/>
      <c r="B906" s="35"/>
      <c r="C906" s="35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</row>
    <row r="907">
      <c r="A907" s="35"/>
      <c r="B907" s="35"/>
      <c r="C907" s="35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</row>
    <row r="908">
      <c r="A908" s="35"/>
      <c r="B908" s="35"/>
      <c r="C908" s="35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</row>
    <row r="909">
      <c r="A909" s="35"/>
      <c r="B909" s="35"/>
      <c r="C909" s="35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</row>
    <row r="910">
      <c r="A910" s="35"/>
      <c r="B910" s="35"/>
      <c r="C910" s="35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</row>
    <row r="911">
      <c r="A911" s="35"/>
      <c r="B911" s="35"/>
      <c r="C911" s="35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</row>
    <row r="912">
      <c r="A912" s="35"/>
      <c r="B912" s="35"/>
      <c r="C912" s="35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</row>
    <row r="913">
      <c r="A913" s="35"/>
      <c r="B913" s="35"/>
      <c r="C913" s="35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</row>
    <row r="914">
      <c r="A914" s="35"/>
      <c r="B914" s="35"/>
      <c r="C914" s="35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</row>
    <row r="915">
      <c r="A915" s="35"/>
      <c r="B915" s="35"/>
      <c r="C915" s="35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</row>
    <row r="916">
      <c r="A916" s="35"/>
      <c r="B916" s="35"/>
      <c r="C916" s="35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</row>
    <row r="917">
      <c r="A917" s="35"/>
      <c r="B917" s="35"/>
      <c r="C917" s="35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</row>
    <row r="918">
      <c r="A918" s="35"/>
      <c r="B918" s="35"/>
      <c r="C918" s="35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</row>
    <row r="919">
      <c r="A919" s="35"/>
      <c r="B919" s="35"/>
      <c r="C919" s="35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</row>
    <row r="920">
      <c r="A920" s="35"/>
      <c r="B920" s="35"/>
      <c r="C920" s="35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</row>
    <row r="921">
      <c r="A921" s="35"/>
      <c r="B921" s="35"/>
      <c r="C921" s="35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</row>
    <row r="922">
      <c r="A922" s="35"/>
      <c r="B922" s="35"/>
      <c r="C922" s="35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</row>
    <row r="923">
      <c r="A923" s="35"/>
      <c r="B923" s="35"/>
      <c r="C923" s="35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</row>
    <row r="924">
      <c r="A924" s="35"/>
      <c r="B924" s="35"/>
      <c r="C924" s="35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</row>
    <row r="925">
      <c r="A925" s="35"/>
      <c r="B925" s="35"/>
      <c r="C925" s="35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</row>
    <row r="926">
      <c r="A926" s="35"/>
      <c r="B926" s="35"/>
      <c r="C926" s="35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</row>
    <row r="927">
      <c r="A927" s="35"/>
      <c r="B927" s="35"/>
      <c r="C927" s="35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</row>
    <row r="928">
      <c r="A928" s="35"/>
      <c r="B928" s="35"/>
      <c r="C928" s="35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</row>
    <row r="929">
      <c r="A929" s="35"/>
      <c r="B929" s="35"/>
      <c r="C929" s="35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</row>
    <row r="930">
      <c r="A930" s="35"/>
      <c r="B930" s="35"/>
      <c r="C930" s="35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</row>
    <row r="931">
      <c r="A931" s="35"/>
      <c r="B931" s="35"/>
      <c r="C931" s="35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</row>
    <row r="932">
      <c r="A932" s="35"/>
      <c r="B932" s="35"/>
      <c r="C932" s="35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</row>
    <row r="933">
      <c r="A933" s="35"/>
      <c r="B933" s="35"/>
      <c r="C933" s="35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</row>
    <row r="934">
      <c r="A934" s="35"/>
      <c r="B934" s="35"/>
      <c r="C934" s="35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</row>
    <row r="935">
      <c r="A935" s="35"/>
      <c r="B935" s="35"/>
      <c r="C935" s="35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</row>
    <row r="936">
      <c r="A936" s="35"/>
      <c r="B936" s="35"/>
      <c r="C936" s="35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</row>
    <row r="937">
      <c r="A937" s="35"/>
      <c r="B937" s="35"/>
      <c r="C937" s="35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</row>
    <row r="938">
      <c r="A938" s="35"/>
      <c r="B938" s="35"/>
      <c r="C938" s="35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</row>
    <row r="939">
      <c r="A939" s="35"/>
      <c r="B939" s="35"/>
      <c r="C939" s="35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</row>
    <row r="940">
      <c r="A940" s="35"/>
      <c r="B940" s="35"/>
      <c r="C940" s="35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</row>
    <row r="941">
      <c r="A941" s="35"/>
      <c r="B941" s="35"/>
      <c r="C941" s="35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</row>
    <row r="942">
      <c r="A942" s="35"/>
      <c r="B942" s="35"/>
      <c r="C942" s="35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</row>
    <row r="943">
      <c r="A943" s="35"/>
      <c r="B943" s="35"/>
      <c r="C943" s="35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</row>
    <row r="944">
      <c r="A944" s="35"/>
      <c r="B944" s="35"/>
      <c r="C944" s="35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</row>
    <row r="945">
      <c r="A945" s="35"/>
      <c r="B945" s="35"/>
      <c r="C945" s="35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</row>
    <row r="946">
      <c r="A946" s="35"/>
      <c r="B946" s="35"/>
      <c r="C946" s="35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</row>
    <row r="947">
      <c r="A947" s="35"/>
      <c r="B947" s="35"/>
      <c r="C947" s="35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</row>
    <row r="948">
      <c r="A948" s="35"/>
      <c r="B948" s="35"/>
      <c r="C948" s="35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</row>
    <row r="949">
      <c r="A949" s="35"/>
      <c r="B949" s="35"/>
      <c r="C949" s="35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</row>
    <row r="950">
      <c r="A950" s="35"/>
      <c r="B950" s="35"/>
      <c r="C950" s="35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</row>
    <row r="951">
      <c r="A951" s="35"/>
      <c r="B951" s="35"/>
      <c r="C951" s="35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</row>
    <row r="952">
      <c r="A952" s="35"/>
      <c r="B952" s="35"/>
      <c r="C952" s="35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</row>
    <row r="953">
      <c r="A953" s="35"/>
      <c r="B953" s="35"/>
      <c r="C953" s="35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</row>
    <row r="954">
      <c r="A954" s="35"/>
      <c r="B954" s="35"/>
      <c r="C954" s="35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</row>
    <row r="955">
      <c r="A955" s="35"/>
      <c r="B955" s="35"/>
      <c r="C955" s="35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</row>
    <row r="956">
      <c r="A956" s="35"/>
      <c r="B956" s="35"/>
      <c r="C956" s="35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</row>
    <row r="957">
      <c r="A957" s="35"/>
      <c r="B957" s="35"/>
      <c r="C957" s="35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</row>
    <row r="958">
      <c r="A958" s="35"/>
      <c r="B958" s="35"/>
      <c r="C958" s="35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</row>
    <row r="959">
      <c r="A959" s="35"/>
      <c r="B959" s="35"/>
      <c r="C959" s="35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</row>
    <row r="960">
      <c r="A960" s="35"/>
      <c r="B960" s="35"/>
      <c r="C960" s="35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</row>
    <row r="961">
      <c r="A961" s="35"/>
      <c r="B961" s="35"/>
      <c r="C961" s="35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</row>
    <row r="962">
      <c r="A962" s="35"/>
      <c r="B962" s="35"/>
      <c r="C962" s="35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</row>
    <row r="963">
      <c r="A963" s="35"/>
      <c r="B963" s="35"/>
      <c r="C963" s="35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</row>
    <row r="964">
      <c r="A964" s="35"/>
      <c r="B964" s="35"/>
      <c r="C964" s="35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</row>
    <row r="965">
      <c r="A965" s="35"/>
      <c r="B965" s="35"/>
      <c r="C965" s="35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</row>
    <row r="966">
      <c r="A966" s="35"/>
      <c r="B966" s="35"/>
      <c r="C966" s="35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</row>
    <row r="967">
      <c r="A967" s="35"/>
      <c r="B967" s="35"/>
      <c r="C967" s="35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</row>
    <row r="968">
      <c r="A968" s="35"/>
      <c r="B968" s="35"/>
      <c r="C968" s="35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</row>
    <row r="969">
      <c r="A969" s="35"/>
      <c r="B969" s="35"/>
      <c r="C969" s="35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</row>
    <row r="970">
      <c r="A970" s="35"/>
      <c r="B970" s="35"/>
      <c r="C970" s="35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</row>
    <row r="971">
      <c r="A971" s="35"/>
      <c r="B971" s="35"/>
      <c r="C971" s="35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</row>
    <row r="972">
      <c r="A972" s="35"/>
      <c r="B972" s="35"/>
      <c r="C972" s="35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</row>
    <row r="973">
      <c r="A973" s="35"/>
      <c r="B973" s="35"/>
      <c r="C973" s="35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</row>
    <row r="974">
      <c r="A974" s="35"/>
      <c r="B974" s="35"/>
      <c r="C974" s="35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</row>
    <row r="975">
      <c r="A975" s="35"/>
      <c r="B975" s="35"/>
      <c r="C975" s="35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</row>
    <row r="976">
      <c r="A976" s="35"/>
      <c r="B976" s="35"/>
      <c r="C976" s="35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</row>
  </sheetData>
  <mergeCells count="24">
    <mergeCell ref="K5:K6"/>
    <mergeCell ref="L5:L6"/>
    <mergeCell ref="B1:O4"/>
    <mergeCell ref="A5:A6"/>
    <mergeCell ref="B5:B6"/>
    <mergeCell ref="C5:C6"/>
    <mergeCell ref="D5:D6"/>
    <mergeCell ref="E5:I5"/>
    <mergeCell ref="J5:J6"/>
    <mergeCell ref="O5:O6"/>
    <mergeCell ref="E33:I33"/>
    <mergeCell ref="J33:J34"/>
    <mergeCell ref="K33:K34"/>
    <mergeCell ref="L33:L34"/>
    <mergeCell ref="M33:M34"/>
    <mergeCell ref="N33:N34"/>
    <mergeCell ref="M5:M6"/>
    <mergeCell ref="N5:N6"/>
    <mergeCell ref="B29:O32"/>
    <mergeCell ref="A33:A34"/>
    <mergeCell ref="B33:B34"/>
    <mergeCell ref="C33:C34"/>
    <mergeCell ref="D33:D34"/>
    <mergeCell ref="O33:O34"/>
  </mergeCells>
  <conditionalFormatting sqref="K7:K27 M7:M27 K35:K55 M35:M55">
    <cfRule type="cellIs" dxfId="0" priority="1" operator="between">
      <formula>"0%"</formula>
      <formula>"79.99%"</formula>
    </cfRule>
  </conditionalFormatting>
  <conditionalFormatting sqref="K7:K27 M7:M27 K35:K55 M35:M55">
    <cfRule type="cellIs" dxfId="1" priority="2" operator="between">
      <formula>"80%"</formula>
      <formula>"99.99%"</formula>
    </cfRule>
  </conditionalFormatting>
  <conditionalFormatting sqref="K7:K27 M7:M27 K35:K55 M35:M55">
    <cfRule type="cellIs" dxfId="2" priority="3" operator="between">
      <formula>"100%"</formula>
      <formula>"500%"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5.13"/>
    <col customWidth="1" min="3" max="3" width="22.88"/>
    <col customWidth="1" min="4" max="5" width="15.13"/>
    <col customWidth="1" min="10" max="10" width="13.63"/>
    <col customWidth="1" min="13" max="13" width="13.63"/>
    <col customWidth="1" min="16" max="16" width="24.0"/>
    <col customWidth="1" min="17" max="17" width="14.88"/>
  </cols>
  <sheetData>
    <row r="1" ht="14.25" customHeight="1">
      <c r="A1" s="69" t="s">
        <v>0</v>
      </c>
      <c r="B1" s="42" t="s">
        <v>168</v>
      </c>
    </row>
    <row r="2" ht="11.25" customHeight="1">
      <c r="A2" s="3"/>
    </row>
    <row r="3">
      <c r="A3" s="3"/>
    </row>
    <row r="4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>
      <c r="A5" s="5"/>
      <c r="B5" s="5"/>
      <c r="C5" s="5"/>
      <c r="D5" s="6"/>
      <c r="E5" s="7" t="s">
        <v>6</v>
      </c>
      <c r="F5" s="4"/>
      <c r="G5" s="4"/>
      <c r="H5" s="4"/>
      <c r="I5" s="8"/>
      <c r="J5" s="6"/>
      <c r="K5" s="6"/>
      <c r="L5" s="6"/>
      <c r="M5" s="6"/>
      <c r="N5" s="6"/>
      <c r="O5" s="6"/>
    </row>
    <row r="6">
      <c r="A6" s="5" t="s">
        <v>2</v>
      </c>
      <c r="B6" s="5" t="s">
        <v>3</v>
      </c>
      <c r="C6" s="5" t="s">
        <v>4</v>
      </c>
      <c r="D6" s="6" t="s">
        <v>5</v>
      </c>
      <c r="E6" s="9" t="s">
        <v>13</v>
      </c>
      <c r="F6" s="6" t="s">
        <v>14</v>
      </c>
      <c r="G6" s="9" t="s">
        <v>15</v>
      </c>
      <c r="H6" s="9" t="s">
        <v>16</v>
      </c>
      <c r="I6" s="9" t="s">
        <v>17</v>
      </c>
      <c r="J6" s="6" t="s">
        <v>7</v>
      </c>
      <c r="K6" s="6" t="s">
        <v>8</v>
      </c>
      <c r="L6" s="6" t="s">
        <v>9</v>
      </c>
      <c r="M6" s="6" t="s">
        <v>10</v>
      </c>
      <c r="N6" s="6" t="s">
        <v>11</v>
      </c>
      <c r="O6" s="6" t="s">
        <v>12</v>
      </c>
    </row>
    <row r="7">
      <c r="A7" s="10">
        <v>100.0</v>
      </c>
      <c r="B7" s="11" t="s">
        <v>18</v>
      </c>
      <c r="C7" s="11" t="s">
        <v>19</v>
      </c>
      <c r="D7" s="12">
        <v>1.0027777777777778E9</v>
      </c>
      <c r="E7" s="96">
        <v>1.8434678832E8</v>
      </c>
      <c r="F7" s="97">
        <v>1.8631654223E8</v>
      </c>
      <c r="G7" s="94">
        <v>2.3588734442E8</v>
      </c>
      <c r="H7" s="13">
        <v>1.4704301906E8</v>
      </c>
      <c r="I7" s="13"/>
      <c r="J7" s="14">
        <f t="shared" ref="J7:J9" si="1">SUM(E7:I7)</f>
        <v>753593694</v>
      </c>
      <c r="K7" s="15">
        <f t="shared" ref="K7:K27" si="2">J7/D7</f>
        <v>0.7515061769</v>
      </c>
      <c r="L7" s="16">
        <f t="shared" ref="L7:L9" si="3">J7/O7*N7</f>
        <v>753593694</v>
      </c>
      <c r="M7" s="59">
        <f t="shared" ref="M7:M9" si="4">L7/D7</f>
        <v>0.7515061769</v>
      </c>
      <c r="N7" s="18">
        <v>22.0</v>
      </c>
      <c r="O7" s="19">
        <v>22.0</v>
      </c>
      <c r="P7" s="20" t="s">
        <v>169</v>
      </c>
      <c r="Q7" s="47"/>
      <c r="R7" s="91"/>
    </row>
    <row r="8">
      <c r="A8" s="10">
        <v>6.0</v>
      </c>
      <c r="B8" s="11" t="s">
        <v>21</v>
      </c>
      <c r="C8" s="11" t="s">
        <v>19</v>
      </c>
      <c r="D8" s="12">
        <v>8.0E7</v>
      </c>
      <c r="E8" s="96">
        <v>1.259328407E7</v>
      </c>
      <c r="F8" s="97">
        <v>1.913873987E7</v>
      </c>
      <c r="G8" s="94">
        <v>3.751177703E7</v>
      </c>
      <c r="H8" s="13">
        <v>2.669737343E7</v>
      </c>
      <c r="I8" s="12"/>
      <c r="J8" s="14">
        <f t="shared" si="1"/>
        <v>95941174.4</v>
      </c>
      <c r="K8" s="15">
        <f t="shared" si="2"/>
        <v>1.19926468</v>
      </c>
      <c r="L8" s="16">
        <f t="shared" si="3"/>
        <v>95941174.4</v>
      </c>
      <c r="M8" s="59">
        <f t="shared" si="4"/>
        <v>1.19926468</v>
      </c>
      <c r="N8" s="18">
        <v>22.0</v>
      </c>
      <c r="O8" s="19">
        <v>22.0</v>
      </c>
      <c r="P8" s="20" t="s">
        <v>169</v>
      </c>
      <c r="Q8" s="47"/>
      <c r="R8" s="91"/>
    </row>
    <row r="9">
      <c r="A9" s="10">
        <v>64.0</v>
      </c>
      <c r="B9" s="10" t="s">
        <v>22</v>
      </c>
      <c r="C9" s="11" t="s">
        <v>19</v>
      </c>
      <c r="D9" s="12">
        <v>7.0E8</v>
      </c>
      <c r="E9" s="96">
        <v>1.07969499E8</v>
      </c>
      <c r="F9" s="94">
        <v>2.01274E8</v>
      </c>
      <c r="G9" s="94">
        <v>1.558198E8</v>
      </c>
      <c r="H9" s="12">
        <v>1.111065E8</v>
      </c>
      <c r="I9" s="12"/>
      <c r="J9" s="14">
        <f t="shared" si="1"/>
        <v>576169799</v>
      </c>
      <c r="K9" s="15">
        <f t="shared" si="2"/>
        <v>0.8230997129</v>
      </c>
      <c r="L9" s="16">
        <f t="shared" si="3"/>
        <v>576169799</v>
      </c>
      <c r="M9" s="59">
        <f t="shared" si="4"/>
        <v>0.8230997129</v>
      </c>
      <c r="N9" s="18">
        <v>22.0</v>
      </c>
      <c r="O9" s="19">
        <v>22.0</v>
      </c>
      <c r="P9" s="20" t="s">
        <v>170</v>
      </c>
      <c r="Q9" s="48"/>
      <c r="R9" s="91"/>
    </row>
    <row r="10">
      <c r="A10" s="10">
        <v>2.0</v>
      </c>
      <c r="B10" s="10" t="s">
        <v>24</v>
      </c>
      <c r="C10" s="10" t="s">
        <v>68</v>
      </c>
      <c r="D10" s="21">
        <v>1.0</v>
      </c>
      <c r="E10" s="21">
        <v>0.5044</v>
      </c>
      <c r="F10" s="21">
        <v>0.5044</v>
      </c>
      <c r="G10" s="21">
        <v>1.7</v>
      </c>
      <c r="H10" s="21">
        <v>1.72</v>
      </c>
      <c r="I10" s="21"/>
      <c r="J10" s="57">
        <f t="shared" ref="J10:J11" si="5">H10</f>
        <v>1.72</v>
      </c>
      <c r="K10" s="15">
        <f t="shared" si="2"/>
        <v>1.72</v>
      </c>
      <c r="L10" s="58">
        <f t="shared" ref="L10:L11" si="6">K10</f>
        <v>1.72</v>
      </c>
      <c r="M10" s="59">
        <f t="shared" ref="M10:M11" si="7">K10</f>
        <v>1.72</v>
      </c>
      <c r="N10" s="18">
        <v>20.0</v>
      </c>
      <c r="O10" s="19">
        <v>20.0</v>
      </c>
      <c r="P10" s="20" t="s">
        <v>170</v>
      </c>
      <c r="Q10" s="48"/>
      <c r="R10" s="91"/>
    </row>
    <row r="11">
      <c r="A11" s="10">
        <v>10.0</v>
      </c>
      <c r="B11" s="10" t="s">
        <v>25</v>
      </c>
      <c r="C11" s="11" t="s">
        <v>26</v>
      </c>
      <c r="D11" s="21">
        <v>1.0</v>
      </c>
      <c r="E11" s="21">
        <v>0.75</v>
      </c>
      <c r="F11" s="21">
        <v>0.77</v>
      </c>
      <c r="G11" s="21">
        <v>0.92</v>
      </c>
      <c r="H11" s="21">
        <v>1.14</v>
      </c>
      <c r="I11" s="21"/>
      <c r="J11" s="57">
        <f t="shared" si="5"/>
        <v>1.14</v>
      </c>
      <c r="K11" s="15">
        <f t="shared" si="2"/>
        <v>1.14</v>
      </c>
      <c r="L11" s="98">
        <f t="shared" si="6"/>
        <v>1.14</v>
      </c>
      <c r="M11" s="78">
        <f t="shared" si="7"/>
        <v>1.14</v>
      </c>
      <c r="N11" s="18">
        <v>20.0</v>
      </c>
      <c r="O11" s="19">
        <v>20.0</v>
      </c>
      <c r="P11" s="20" t="s">
        <v>170</v>
      </c>
      <c r="Q11" s="48"/>
      <c r="R11" s="92"/>
    </row>
    <row r="12">
      <c r="A12" s="10">
        <v>21.0</v>
      </c>
      <c r="B12" s="10" t="s">
        <v>27</v>
      </c>
      <c r="C12" s="11" t="s">
        <v>19</v>
      </c>
      <c r="D12" s="19">
        <v>1266.0</v>
      </c>
      <c r="E12" s="18">
        <v>218.0</v>
      </c>
      <c r="F12" s="18">
        <v>133.0</v>
      </c>
      <c r="G12" s="18">
        <v>232.0</v>
      </c>
      <c r="H12" s="18">
        <v>164.0</v>
      </c>
      <c r="I12" s="29">
        <v>203.0</v>
      </c>
      <c r="J12" s="30">
        <f t="shared" ref="J12:J25" si="8">SUM(E12:I12)</f>
        <v>950</v>
      </c>
      <c r="K12" s="15">
        <f t="shared" si="2"/>
        <v>0.7503949447</v>
      </c>
      <c r="L12" s="16">
        <f t="shared" ref="L12:L25" si="9">J12/O12*N12</f>
        <v>950</v>
      </c>
      <c r="M12" s="59">
        <f t="shared" ref="M12:M25" si="10">L12/D12</f>
        <v>0.7503949447</v>
      </c>
      <c r="N12" s="18">
        <v>20.0</v>
      </c>
      <c r="O12" s="18">
        <v>20.0</v>
      </c>
      <c r="P12" s="20" t="s">
        <v>171</v>
      </c>
      <c r="Q12" s="48"/>
      <c r="R12" s="91"/>
    </row>
    <row r="13">
      <c r="A13" s="10">
        <v>15.0</v>
      </c>
      <c r="B13" s="10" t="s">
        <v>29</v>
      </c>
      <c r="C13" s="11" t="s">
        <v>19</v>
      </c>
      <c r="D13" s="19">
        <v>5.4453E7</v>
      </c>
      <c r="E13" s="19">
        <v>2356000.0</v>
      </c>
      <c r="F13" s="12">
        <v>9310000.0</v>
      </c>
      <c r="G13" s="12">
        <v>4645000.0</v>
      </c>
      <c r="H13" s="12">
        <v>2.8708E7</v>
      </c>
      <c r="I13" s="19"/>
      <c r="J13" s="30">
        <f t="shared" si="8"/>
        <v>45019000</v>
      </c>
      <c r="K13" s="15">
        <f t="shared" si="2"/>
        <v>0.826749674</v>
      </c>
      <c r="L13" s="16">
        <f t="shared" si="9"/>
        <v>45019000</v>
      </c>
      <c r="M13" s="59">
        <f t="shared" si="10"/>
        <v>0.826749674</v>
      </c>
      <c r="N13" s="18">
        <v>20.0</v>
      </c>
      <c r="O13" s="18">
        <v>20.0</v>
      </c>
      <c r="P13" s="20" t="s">
        <v>171</v>
      </c>
      <c r="Q13" s="48"/>
      <c r="R13" s="91"/>
    </row>
    <row r="14">
      <c r="A14" s="10">
        <v>35.0</v>
      </c>
      <c r="B14" s="10" t="s">
        <v>31</v>
      </c>
      <c r="C14" s="11" t="s">
        <v>19</v>
      </c>
      <c r="D14" s="12">
        <v>3.34288134E8</v>
      </c>
      <c r="E14" s="19">
        <v>5.9405574E7</v>
      </c>
      <c r="F14" s="19">
        <v>6.3991477E7</v>
      </c>
      <c r="G14" s="19">
        <v>6.6102293E7</v>
      </c>
      <c r="H14" s="19">
        <v>5.9384795E7</v>
      </c>
      <c r="I14" s="19">
        <v>1.7964944E7</v>
      </c>
      <c r="J14" s="30">
        <f t="shared" si="8"/>
        <v>266849083</v>
      </c>
      <c r="K14" s="15">
        <f t="shared" si="2"/>
        <v>0.7982607094</v>
      </c>
      <c r="L14" s="16">
        <f t="shared" si="9"/>
        <v>266849083</v>
      </c>
      <c r="M14" s="59">
        <f t="shared" si="10"/>
        <v>0.7982607094</v>
      </c>
      <c r="N14" s="18">
        <v>20.0</v>
      </c>
      <c r="O14" s="18">
        <v>20.0</v>
      </c>
      <c r="P14" s="20" t="s">
        <v>172</v>
      </c>
      <c r="Q14" s="48"/>
      <c r="R14" s="91"/>
    </row>
    <row r="15" ht="17.25" customHeight="1">
      <c r="A15" s="10">
        <v>100.0</v>
      </c>
      <c r="B15" s="11" t="s">
        <v>32</v>
      </c>
      <c r="C15" s="11" t="s">
        <v>19</v>
      </c>
      <c r="D15" s="19">
        <v>16143.0</v>
      </c>
      <c r="E15" s="18">
        <v>2507.0</v>
      </c>
      <c r="F15" s="60">
        <f>4567-E15+1500</f>
        <v>3560</v>
      </c>
      <c r="G15" s="60">
        <f>1112+466+810+1775</f>
        <v>4163</v>
      </c>
      <c r="H15" s="18">
        <v>860.0</v>
      </c>
      <c r="I15" s="18"/>
      <c r="J15" s="30">
        <f t="shared" si="8"/>
        <v>11090</v>
      </c>
      <c r="K15" s="15">
        <f t="shared" si="2"/>
        <v>0.6869850709</v>
      </c>
      <c r="L15" s="16">
        <f t="shared" si="9"/>
        <v>11090</v>
      </c>
      <c r="M15" s="59">
        <f t="shared" si="10"/>
        <v>0.6869850709</v>
      </c>
      <c r="N15" s="18">
        <v>20.0</v>
      </c>
      <c r="O15" s="18">
        <v>20.0</v>
      </c>
      <c r="P15" s="20" t="s">
        <v>173</v>
      </c>
      <c r="Q15" s="48" t="s">
        <v>174</v>
      </c>
      <c r="R15" s="91"/>
    </row>
    <row r="16">
      <c r="A16" s="10">
        <v>5.0</v>
      </c>
      <c r="B16" s="10" t="s">
        <v>117</v>
      </c>
      <c r="C16" s="11" t="s">
        <v>19</v>
      </c>
      <c r="D16" s="19">
        <v>300.0</v>
      </c>
      <c r="E16" s="62">
        <v>76.0</v>
      </c>
      <c r="F16" s="63">
        <v>92.0</v>
      </c>
      <c r="G16" s="63">
        <v>92.0</v>
      </c>
      <c r="H16" s="18">
        <v>28.0</v>
      </c>
      <c r="I16" s="18"/>
      <c r="J16" s="45">
        <f t="shared" si="8"/>
        <v>288</v>
      </c>
      <c r="K16" s="15">
        <f t="shared" si="2"/>
        <v>0.96</v>
      </c>
      <c r="L16" s="16">
        <f t="shared" si="9"/>
        <v>288</v>
      </c>
      <c r="M16" s="59">
        <f t="shared" si="10"/>
        <v>0.96</v>
      </c>
      <c r="N16" s="18">
        <v>20.0</v>
      </c>
      <c r="O16" s="18">
        <v>20.0</v>
      </c>
      <c r="P16" s="20" t="str">
        <f t="shared" ref="P16:P17" si="11">P15</f>
        <v>as of November 28, 2025</v>
      </c>
      <c r="Q16" s="48" t="s">
        <v>174</v>
      </c>
      <c r="R16" s="91"/>
    </row>
    <row r="17">
      <c r="A17" s="10">
        <v>13.0</v>
      </c>
      <c r="B17" s="10" t="s">
        <v>118</v>
      </c>
      <c r="C17" s="11" t="s">
        <v>19</v>
      </c>
      <c r="D17" s="19">
        <v>1700.0</v>
      </c>
      <c r="E17" s="62">
        <v>329.0</v>
      </c>
      <c r="F17" s="63">
        <v>426.0</v>
      </c>
      <c r="G17" s="63">
        <v>551.0</v>
      </c>
      <c r="H17" s="18">
        <v>152.0</v>
      </c>
      <c r="I17" s="18"/>
      <c r="J17" s="45">
        <f t="shared" si="8"/>
        <v>1458</v>
      </c>
      <c r="K17" s="15">
        <f t="shared" si="2"/>
        <v>0.8576470588</v>
      </c>
      <c r="L17" s="16">
        <f t="shared" si="9"/>
        <v>1458</v>
      </c>
      <c r="M17" s="59">
        <f t="shared" si="10"/>
        <v>0.8576470588</v>
      </c>
      <c r="N17" s="18">
        <v>20.0</v>
      </c>
      <c r="O17" s="18">
        <v>20.0</v>
      </c>
      <c r="P17" s="20" t="str">
        <f t="shared" si="11"/>
        <v>as of November 28, 2025</v>
      </c>
      <c r="Q17" s="48" t="s">
        <v>174</v>
      </c>
      <c r="R17" s="91"/>
    </row>
    <row r="18">
      <c r="A18" s="10">
        <v>39.0</v>
      </c>
      <c r="B18" s="11" t="s">
        <v>35</v>
      </c>
      <c r="C18" s="11" t="s">
        <v>19</v>
      </c>
      <c r="D18" s="19">
        <v>4.4928E8</v>
      </c>
      <c r="E18" s="80">
        <f>29203500+25869000+33926000+27715000+33119000</f>
        <v>149832500</v>
      </c>
      <c r="F18" s="82">
        <f>26972000+42905000+21691000+36379360+35412000</f>
        <v>163359360</v>
      </c>
      <c r="G18" s="82">
        <f>59684000+49607000+49801763+37260000+49202000+47867000
</f>
        <v>293421763</v>
      </c>
      <c r="H18" s="19">
        <f>42579000+62289000+43703500+41513000+57387000</f>
        <v>247471500</v>
      </c>
      <c r="I18" s="19"/>
      <c r="J18" s="30">
        <f t="shared" si="8"/>
        <v>854085123</v>
      </c>
      <c r="K18" s="15">
        <f t="shared" si="2"/>
        <v>1.901008554</v>
      </c>
      <c r="L18" s="16">
        <f t="shared" si="9"/>
        <v>854085123</v>
      </c>
      <c r="M18" s="59">
        <f t="shared" si="10"/>
        <v>1.901008554</v>
      </c>
      <c r="N18" s="18">
        <v>21.0</v>
      </c>
      <c r="O18" s="18">
        <v>21.0</v>
      </c>
      <c r="P18" s="20" t="s">
        <v>175</v>
      </c>
      <c r="Q18" s="47"/>
      <c r="R18" s="91"/>
    </row>
    <row r="19">
      <c r="A19" s="10">
        <v>5.0</v>
      </c>
      <c r="B19" s="11" t="s">
        <v>37</v>
      </c>
      <c r="C19" s="11" t="s">
        <v>19</v>
      </c>
      <c r="D19" s="12">
        <v>1120.0</v>
      </c>
      <c r="E19" s="80">
        <f>17+32+29+21+26</f>
        <v>125</v>
      </c>
      <c r="F19" s="81">
        <f>13+50+40+22+21+33</f>
        <v>179</v>
      </c>
      <c r="G19" s="82">
        <f>28+28+32+26+46</f>
        <v>160</v>
      </c>
      <c r="H19" s="34">
        <f>27+25+20+35+43</f>
        <v>150</v>
      </c>
      <c r="I19" s="34"/>
      <c r="J19" s="30">
        <f t="shared" si="8"/>
        <v>614</v>
      </c>
      <c r="K19" s="15">
        <f t="shared" si="2"/>
        <v>0.5482142857</v>
      </c>
      <c r="L19" s="16">
        <f t="shared" si="9"/>
        <v>614</v>
      </c>
      <c r="M19" s="99">
        <f t="shared" si="10"/>
        <v>0.5482142857</v>
      </c>
      <c r="N19" s="18">
        <v>21.0</v>
      </c>
      <c r="O19" s="18">
        <v>21.0</v>
      </c>
      <c r="P19" s="68" t="str">
        <f t="shared" ref="P19:P21" si="12">P18</f>
        <v>as of November 30, 2025</v>
      </c>
      <c r="Q19" s="47"/>
      <c r="R19" s="91"/>
    </row>
    <row r="20">
      <c r="A20" s="10">
        <v>10.0</v>
      </c>
      <c r="B20" s="11" t="s">
        <v>38</v>
      </c>
      <c r="C20" s="11" t="s">
        <v>19</v>
      </c>
      <c r="D20" s="12">
        <v>2750.0</v>
      </c>
      <c r="E20" s="80">
        <f>98+66+64+84+76</f>
        <v>388</v>
      </c>
      <c r="F20" s="89">
        <f>24+62+79+78+60+54</f>
        <v>357</v>
      </c>
      <c r="G20" s="90">
        <f>72+42+69+81+47</f>
        <v>311</v>
      </c>
      <c r="H20" s="29">
        <f>62+59+71+55</f>
        <v>247</v>
      </c>
      <c r="I20" s="29"/>
      <c r="J20" s="30">
        <f t="shared" si="8"/>
        <v>1303</v>
      </c>
      <c r="K20" s="15">
        <f t="shared" si="2"/>
        <v>0.4738181818</v>
      </c>
      <c r="L20" s="16">
        <f t="shared" si="9"/>
        <v>1368.15</v>
      </c>
      <c r="M20" s="59">
        <f t="shared" si="10"/>
        <v>0.4975090909</v>
      </c>
      <c r="N20" s="18">
        <v>21.0</v>
      </c>
      <c r="O20" s="18">
        <v>20.0</v>
      </c>
      <c r="P20" s="68" t="str">
        <f t="shared" si="12"/>
        <v>as of November 30, 2025</v>
      </c>
      <c r="Q20" s="47"/>
      <c r="R20" s="91"/>
    </row>
    <row r="21">
      <c r="A21" s="10">
        <v>25.0</v>
      </c>
      <c r="B21" s="10" t="s">
        <v>39</v>
      </c>
      <c r="C21" s="11" t="s">
        <v>19</v>
      </c>
      <c r="D21" s="12">
        <v>6000.0</v>
      </c>
      <c r="E21" s="19">
        <f>176+151+144+145+251</f>
        <v>867</v>
      </c>
      <c r="F21" s="29">
        <f>172+282+277+211+184+180</f>
        <v>1306</v>
      </c>
      <c r="G21" s="19">
        <f>307+330+310+239+171</f>
        <v>1357</v>
      </c>
      <c r="H21" s="29">
        <f>162+165+124+160</f>
        <v>611</v>
      </c>
      <c r="I21" s="29"/>
      <c r="J21" s="30">
        <f t="shared" si="8"/>
        <v>4141</v>
      </c>
      <c r="K21" s="15">
        <f t="shared" si="2"/>
        <v>0.6901666667</v>
      </c>
      <c r="L21" s="16">
        <f t="shared" si="9"/>
        <v>4348.05</v>
      </c>
      <c r="M21" s="59">
        <f t="shared" si="10"/>
        <v>0.724675</v>
      </c>
      <c r="N21" s="18">
        <v>21.0</v>
      </c>
      <c r="O21" s="63">
        <v>20.0</v>
      </c>
      <c r="P21" s="68" t="str">
        <f t="shared" si="12"/>
        <v>as of November 30, 2025</v>
      </c>
      <c r="Q21" s="48"/>
      <c r="R21" s="91"/>
    </row>
    <row r="22">
      <c r="A22" s="10">
        <v>20.0</v>
      </c>
      <c r="B22" s="10" t="s">
        <v>40</v>
      </c>
      <c r="C22" s="11" t="s">
        <v>19</v>
      </c>
      <c r="D22" s="12">
        <v>100.0</v>
      </c>
      <c r="E22" s="19">
        <v>25.0</v>
      </c>
      <c r="F22" s="29">
        <v>23.0</v>
      </c>
      <c r="G22" s="29">
        <v>31.0</v>
      </c>
      <c r="H22" s="29">
        <v>25.0</v>
      </c>
      <c r="I22" s="29"/>
      <c r="J22" s="30">
        <f t="shared" si="8"/>
        <v>104</v>
      </c>
      <c r="K22" s="15">
        <f t="shared" si="2"/>
        <v>1.04</v>
      </c>
      <c r="L22" s="16">
        <f t="shared" si="9"/>
        <v>104</v>
      </c>
      <c r="M22" s="59">
        <f t="shared" si="10"/>
        <v>1.04</v>
      </c>
      <c r="N22" s="62">
        <v>20.0</v>
      </c>
      <c r="O22" s="63">
        <v>20.0</v>
      </c>
      <c r="P22" s="20" t="s">
        <v>173</v>
      </c>
      <c r="Q22" s="48"/>
      <c r="R22" s="91"/>
    </row>
    <row r="23">
      <c r="A23" s="10">
        <v>21.0</v>
      </c>
      <c r="B23" s="10" t="s">
        <v>73</v>
      </c>
      <c r="C23" s="11" t="s">
        <v>19</v>
      </c>
      <c r="D23" s="12">
        <v>2100.0</v>
      </c>
      <c r="E23" s="19">
        <v>629.0</v>
      </c>
      <c r="F23" s="29">
        <v>721.0</v>
      </c>
      <c r="G23" s="29">
        <v>244.0</v>
      </c>
      <c r="H23" s="102">
        <v>377.0</v>
      </c>
      <c r="I23" s="29">
        <v>63.0</v>
      </c>
      <c r="J23" s="30">
        <f t="shared" si="8"/>
        <v>2034</v>
      </c>
      <c r="K23" s="15">
        <f t="shared" si="2"/>
        <v>0.9685714286</v>
      </c>
      <c r="L23" s="16">
        <f t="shared" si="9"/>
        <v>2034</v>
      </c>
      <c r="M23" s="59">
        <f t="shared" si="10"/>
        <v>0.9685714286</v>
      </c>
      <c r="N23" s="62">
        <v>21.0</v>
      </c>
      <c r="O23" s="63">
        <v>21.0</v>
      </c>
      <c r="P23" s="20" t="s">
        <v>176</v>
      </c>
      <c r="Q23" s="48"/>
      <c r="R23" s="91"/>
    </row>
    <row r="24">
      <c r="A24" s="10">
        <v>5.0</v>
      </c>
      <c r="B24" s="10" t="s">
        <v>134</v>
      </c>
      <c r="C24" s="11" t="s">
        <v>19</v>
      </c>
      <c r="D24" s="12">
        <v>4.1E7</v>
      </c>
      <c r="E24" s="19">
        <v>4083750.0</v>
      </c>
      <c r="F24" s="12">
        <v>1.60406E7</v>
      </c>
      <c r="G24" s="96">
        <v>1.3404E7</v>
      </c>
      <c r="H24" s="103">
        <v>2002000.0</v>
      </c>
      <c r="I24" s="12"/>
      <c r="J24" s="30">
        <f t="shared" si="8"/>
        <v>35530350</v>
      </c>
      <c r="K24" s="15">
        <f t="shared" si="2"/>
        <v>0.8665939024</v>
      </c>
      <c r="L24" s="16">
        <f t="shared" si="9"/>
        <v>35530350</v>
      </c>
      <c r="M24" s="59">
        <f t="shared" si="10"/>
        <v>0.8665939024</v>
      </c>
      <c r="N24" s="62">
        <v>20.0</v>
      </c>
      <c r="O24" s="63">
        <v>20.0</v>
      </c>
      <c r="P24" s="20" t="s">
        <v>177</v>
      </c>
      <c r="Q24" s="48"/>
      <c r="R24" s="91"/>
    </row>
    <row r="25">
      <c r="A25" s="10">
        <v>3.0</v>
      </c>
      <c r="B25" s="10" t="s">
        <v>43</v>
      </c>
      <c r="C25" s="11" t="s">
        <v>19</v>
      </c>
      <c r="D25" s="12">
        <v>40.0</v>
      </c>
      <c r="E25" s="12">
        <v>15.0</v>
      </c>
      <c r="F25" s="12">
        <v>12.0</v>
      </c>
      <c r="G25" s="12">
        <v>13.0</v>
      </c>
      <c r="H25" s="12">
        <v>13.0</v>
      </c>
      <c r="I25" s="12"/>
      <c r="J25" s="14">
        <f t="shared" si="8"/>
        <v>53</v>
      </c>
      <c r="K25" s="15">
        <f t="shared" si="2"/>
        <v>1.325</v>
      </c>
      <c r="L25" s="16">
        <f t="shared" si="9"/>
        <v>53</v>
      </c>
      <c r="M25" s="59">
        <f t="shared" si="10"/>
        <v>1.325</v>
      </c>
      <c r="N25" s="62">
        <v>20.0</v>
      </c>
      <c r="O25" s="63">
        <v>20.0</v>
      </c>
      <c r="P25" s="20" t="s">
        <v>177</v>
      </c>
      <c r="Q25" s="48"/>
      <c r="R25" s="91"/>
    </row>
    <row r="26">
      <c r="A26" s="10">
        <v>90.0</v>
      </c>
      <c r="B26" s="10" t="s">
        <v>44</v>
      </c>
      <c r="C26" s="11" t="s">
        <v>19</v>
      </c>
      <c r="D26" s="21">
        <v>0.85</v>
      </c>
      <c r="E26" s="21">
        <v>0.85</v>
      </c>
      <c r="F26" s="24">
        <v>0.8642</v>
      </c>
      <c r="G26" s="24">
        <v>0.86</v>
      </c>
      <c r="H26" s="24">
        <v>0.87</v>
      </c>
      <c r="I26" s="24">
        <v>0.88</v>
      </c>
      <c r="J26" s="57">
        <f>I26</f>
        <v>0.88</v>
      </c>
      <c r="K26" s="15">
        <f t="shared" si="2"/>
        <v>1.035294118</v>
      </c>
      <c r="L26" s="15">
        <f t="shared" ref="L26:M26" si="13">J26</f>
        <v>0.88</v>
      </c>
      <c r="M26" s="59">
        <f t="shared" si="13"/>
        <v>1.035294118</v>
      </c>
      <c r="N26" s="62">
        <v>30.0</v>
      </c>
      <c r="O26" s="63">
        <v>30.0</v>
      </c>
      <c r="P26" s="20" t="s">
        <v>178</v>
      </c>
      <c r="Q26" s="48"/>
      <c r="R26" s="91"/>
    </row>
    <row r="27">
      <c r="A27" s="10">
        <v>88.0</v>
      </c>
      <c r="B27" s="10" t="s">
        <v>120</v>
      </c>
      <c r="C27" s="10" t="s">
        <v>121</v>
      </c>
      <c r="D27" s="21">
        <v>0.85</v>
      </c>
      <c r="E27" s="23">
        <v>0.8047</v>
      </c>
      <c r="F27" s="44">
        <v>0.8081</v>
      </c>
      <c r="G27" s="44">
        <v>0.7814</v>
      </c>
      <c r="H27" s="44">
        <v>0.7556</v>
      </c>
      <c r="I27" s="24"/>
      <c r="J27" s="23">
        <f>average(E27:H27)</f>
        <v>0.78745</v>
      </c>
      <c r="K27" s="15">
        <f t="shared" si="2"/>
        <v>0.9264117647</v>
      </c>
      <c r="L27" s="15">
        <f>K27</f>
        <v>0.9264117647</v>
      </c>
      <c r="M27" s="59">
        <f>K27</f>
        <v>0.9264117647</v>
      </c>
      <c r="N27" s="62">
        <v>30.0</v>
      </c>
      <c r="O27" s="83">
        <v>30.0</v>
      </c>
      <c r="P27" s="20" t="s">
        <v>179</v>
      </c>
      <c r="Q27" s="48"/>
      <c r="R27" s="91"/>
    </row>
    <row r="28">
      <c r="A28" s="35"/>
      <c r="B28" s="35"/>
      <c r="C28" s="35"/>
      <c r="D28" s="36"/>
      <c r="E28" s="37"/>
      <c r="F28" s="38"/>
      <c r="G28" s="38"/>
      <c r="H28" s="36"/>
      <c r="I28" s="38"/>
      <c r="J28" s="37"/>
      <c r="K28" s="39"/>
      <c r="L28" s="40"/>
      <c r="M28" s="41"/>
      <c r="N28" s="38"/>
      <c r="O28" s="38"/>
      <c r="R28" s="91"/>
    </row>
    <row r="29" ht="15.0" customHeight="1">
      <c r="A29" s="1" t="s">
        <v>0</v>
      </c>
      <c r="B29" s="42" t="s">
        <v>180</v>
      </c>
    </row>
    <row r="30" ht="10.5" customHeight="1">
      <c r="A30" s="3"/>
    </row>
    <row r="31">
      <c r="A31" s="3"/>
    </row>
    <row r="32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>
      <c r="A33" s="5" t="s">
        <v>2</v>
      </c>
      <c r="B33" s="5" t="s">
        <v>3</v>
      </c>
      <c r="C33" s="5" t="s">
        <v>4</v>
      </c>
      <c r="D33" s="6" t="s">
        <v>5</v>
      </c>
      <c r="E33" s="7" t="s">
        <v>6</v>
      </c>
      <c r="F33" s="4"/>
      <c r="G33" s="4"/>
      <c r="H33" s="4"/>
      <c r="I33" s="8"/>
      <c r="J33" s="104">
        <v>6.0</v>
      </c>
      <c r="K33" s="6" t="s">
        <v>8</v>
      </c>
      <c r="L33" s="6" t="s">
        <v>9</v>
      </c>
      <c r="M33" s="6" t="s">
        <v>10</v>
      </c>
      <c r="N33" s="6" t="s">
        <v>11</v>
      </c>
      <c r="O33" s="6" t="s">
        <v>12</v>
      </c>
    </row>
    <row r="34">
      <c r="A34" s="8"/>
      <c r="B34" s="8"/>
      <c r="C34" s="8"/>
      <c r="D34" s="8"/>
      <c r="E34" s="9" t="s">
        <v>13</v>
      </c>
      <c r="F34" s="9" t="s">
        <v>14</v>
      </c>
      <c r="G34" s="9" t="s">
        <v>15</v>
      </c>
      <c r="H34" s="9" t="s">
        <v>16</v>
      </c>
      <c r="I34" s="9" t="s">
        <v>17</v>
      </c>
      <c r="J34" s="8"/>
      <c r="K34" s="8"/>
      <c r="L34" s="8"/>
      <c r="M34" s="8"/>
      <c r="N34" s="8"/>
      <c r="O34" s="8"/>
    </row>
    <row r="35">
      <c r="A35" s="10">
        <v>100.0</v>
      </c>
      <c r="B35" s="11" t="s">
        <v>18</v>
      </c>
      <c r="C35" s="11" t="s">
        <v>19</v>
      </c>
      <c r="D35" s="19">
        <v>9.025E8</v>
      </c>
      <c r="E35" s="12">
        <v>1.233180956E8</v>
      </c>
      <c r="F35" s="12">
        <v>1.6062250647E8</v>
      </c>
      <c r="G35" s="12">
        <v>2.364324027E8</v>
      </c>
      <c r="H35" s="13">
        <v>2.066354728E8</v>
      </c>
      <c r="I35" s="13"/>
      <c r="J35" s="14">
        <f t="shared" ref="J35:J37" si="14">SUM(E35:I35)</f>
        <v>727008477.6</v>
      </c>
      <c r="K35" s="15">
        <f t="shared" ref="K35:K38" si="15">J35/D35</f>
        <v>0.8055495596</v>
      </c>
      <c r="L35" s="16">
        <f t="shared" ref="L35:L37" si="16">J35/O35*N35</f>
        <v>727008477.6</v>
      </c>
      <c r="M35" s="59">
        <f t="shared" ref="M35:M37" si="17">L35/D35</f>
        <v>0.8055495596</v>
      </c>
      <c r="N35" s="18">
        <v>20.0</v>
      </c>
      <c r="O35" s="19">
        <v>20.0</v>
      </c>
      <c r="P35" s="20" t="s">
        <v>181</v>
      </c>
    </row>
    <row r="36">
      <c r="A36" s="10">
        <v>6.0</v>
      </c>
      <c r="B36" s="11" t="s">
        <v>21</v>
      </c>
      <c r="C36" s="11" t="s">
        <v>19</v>
      </c>
      <c r="D36" s="19">
        <v>7.2E7</v>
      </c>
      <c r="E36" s="12">
        <v>8952608.5</v>
      </c>
      <c r="F36" s="12">
        <v>1.277793041E7</v>
      </c>
      <c r="G36" s="12">
        <v>3.251658203E7</v>
      </c>
      <c r="H36" s="13">
        <v>3.730942569E7</v>
      </c>
      <c r="I36" s="12"/>
      <c r="J36" s="14">
        <f t="shared" si="14"/>
        <v>91556546.63</v>
      </c>
      <c r="K36" s="15">
        <f t="shared" si="15"/>
        <v>1.271618703</v>
      </c>
      <c r="L36" s="16">
        <f t="shared" si="16"/>
        <v>91556546.63</v>
      </c>
      <c r="M36" s="59">
        <f t="shared" si="17"/>
        <v>1.271618703</v>
      </c>
      <c r="N36" s="18">
        <v>20.0</v>
      </c>
      <c r="O36" s="19">
        <v>20.0</v>
      </c>
      <c r="P36" s="20" t="s">
        <v>181</v>
      </c>
    </row>
    <row r="37">
      <c r="A37" s="10">
        <v>64.0</v>
      </c>
      <c r="B37" s="10" t="s">
        <v>22</v>
      </c>
      <c r="C37" s="11" t="s">
        <v>19</v>
      </c>
      <c r="D37" s="19">
        <v>6.2E8</v>
      </c>
      <c r="E37" s="12">
        <v>6.14755E7</v>
      </c>
      <c r="F37" s="12">
        <v>5.7994E7</v>
      </c>
      <c r="G37" s="12">
        <v>1.64652499E8</v>
      </c>
      <c r="H37" s="12">
        <v>1.482829E8</v>
      </c>
      <c r="I37" s="12"/>
      <c r="J37" s="14">
        <f t="shared" si="14"/>
        <v>432404899</v>
      </c>
      <c r="K37" s="15">
        <f t="shared" si="15"/>
        <v>0.6974272565</v>
      </c>
      <c r="L37" s="16">
        <f t="shared" si="16"/>
        <v>432404899</v>
      </c>
      <c r="M37" s="59">
        <f t="shared" si="17"/>
        <v>0.6974272565</v>
      </c>
      <c r="N37" s="18">
        <v>20.0</v>
      </c>
      <c r="O37" s="19">
        <v>20.0</v>
      </c>
      <c r="P37" s="20" t="s">
        <v>181</v>
      </c>
    </row>
    <row r="38">
      <c r="A38" s="10">
        <v>2.0</v>
      </c>
      <c r="B38" s="10" t="s">
        <v>24</v>
      </c>
      <c r="C38" s="10" t="s">
        <v>68</v>
      </c>
      <c r="D38" s="21">
        <v>1.0</v>
      </c>
      <c r="E38" s="21">
        <v>0.5044</v>
      </c>
      <c r="F38" s="21">
        <v>0.5044</v>
      </c>
      <c r="G38" s="21">
        <v>1.7</v>
      </c>
      <c r="H38" s="21">
        <v>1.72</v>
      </c>
      <c r="I38" s="21"/>
      <c r="J38" s="57">
        <f t="shared" ref="J38:J39" si="19">H38</f>
        <v>1.72</v>
      </c>
      <c r="K38" s="15">
        <f t="shared" si="15"/>
        <v>1.72</v>
      </c>
      <c r="L38" s="58">
        <f>K38</f>
        <v>1.72</v>
      </c>
      <c r="M38" s="59">
        <f t="shared" ref="M38:M39" si="21">K38</f>
        <v>1.72</v>
      </c>
      <c r="N38" s="18">
        <v>20.0</v>
      </c>
      <c r="O38" s="19">
        <v>20.0</v>
      </c>
      <c r="P38" s="20" t="s">
        <v>181</v>
      </c>
    </row>
    <row r="39">
      <c r="A39" s="10">
        <v>10.0</v>
      </c>
      <c r="B39" s="10" t="s">
        <v>25</v>
      </c>
      <c r="C39" s="11" t="s">
        <v>26</v>
      </c>
      <c r="D39" s="21">
        <f t="shared" ref="D39:I39" si="18">D11</f>
        <v>1</v>
      </c>
      <c r="E39" s="21">
        <f t="shared" si="18"/>
        <v>0.75</v>
      </c>
      <c r="F39" s="21">
        <f t="shared" si="18"/>
        <v>0.77</v>
      </c>
      <c r="G39" s="21">
        <f t="shared" si="18"/>
        <v>0.92</v>
      </c>
      <c r="H39" s="21">
        <f t="shared" si="18"/>
        <v>1.14</v>
      </c>
      <c r="I39" s="21" t="str">
        <f t="shared" si="18"/>
        <v/>
      </c>
      <c r="J39" s="57">
        <f t="shared" si="19"/>
        <v>1.14</v>
      </c>
      <c r="K39" s="15">
        <f t="shared" ref="K39:L39" si="20">J39</f>
        <v>1.14</v>
      </c>
      <c r="L39" s="58">
        <f t="shared" si="20"/>
        <v>1.14</v>
      </c>
      <c r="M39" s="59">
        <f t="shared" si="21"/>
        <v>1.14</v>
      </c>
      <c r="N39" s="105">
        <f>N11</f>
        <v>20</v>
      </c>
      <c r="O39" s="19">
        <v>20.0</v>
      </c>
      <c r="P39" s="20" t="s">
        <v>181</v>
      </c>
    </row>
    <row r="40">
      <c r="A40" s="10">
        <v>21.0</v>
      </c>
      <c r="B40" s="10" t="s">
        <v>27</v>
      </c>
      <c r="C40" s="10" t="s">
        <v>109</v>
      </c>
      <c r="D40" s="19">
        <v>789.0</v>
      </c>
      <c r="E40" s="18">
        <v>197.0</v>
      </c>
      <c r="F40" s="18">
        <v>102.0</v>
      </c>
      <c r="G40" s="18">
        <v>197.0</v>
      </c>
      <c r="H40" s="18">
        <v>190.0</v>
      </c>
      <c r="I40" s="29"/>
      <c r="J40" s="45">
        <f t="shared" ref="J40:J42" si="22">sum(E40:I40)</f>
        <v>686</v>
      </c>
      <c r="K40" s="15">
        <f t="shared" ref="K40:K55" si="23">J40/D40</f>
        <v>0.8694550063</v>
      </c>
      <c r="L40" s="16">
        <f t="shared" ref="L40:L45" si="24">J40/O40*N40</f>
        <v>686</v>
      </c>
      <c r="M40" s="59">
        <f t="shared" ref="M40:M53" si="25">L40/D40</f>
        <v>0.8694550063</v>
      </c>
      <c r="N40" s="62">
        <v>20.0</v>
      </c>
      <c r="O40" s="63">
        <v>20.0</v>
      </c>
      <c r="P40" s="20" t="s">
        <v>172</v>
      </c>
    </row>
    <row r="41">
      <c r="A41" s="10">
        <v>15.0</v>
      </c>
      <c r="B41" s="10" t="s">
        <v>29</v>
      </c>
      <c r="C41" s="10" t="s">
        <v>110</v>
      </c>
      <c r="D41" s="12">
        <v>1.001E7</v>
      </c>
      <c r="E41" s="19">
        <v>999000.0</v>
      </c>
      <c r="F41" s="12">
        <v>831000.0</v>
      </c>
      <c r="G41" s="19">
        <v>678000.0</v>
      </c>
      <c r="H41" s="19">
        <v>744000.0</v>
      </c>
      <c r="I41" s="19"/>
      <c r="J41" s="30">
        <f t="shared" si="22"/>
        <v>3252000</v>
      </c>
      <c r="K41" s="15">
        <f t="shared" si="23"/>
        <v>0.3248751249</v>
      </c>
      <c r="L41" s="16">
        <f t="shared" si="24"/>
        <v>3252000</v>
      </c>
      <c r="M41" s="59">
        <f t="shared" si="25"/>
        <v>0.3248751249</v>
      </c>
      <c r="N41" s="62">
        <v>20.0</v>
      </c>
      <c r="O41" s="63">
        <v>20.0</v>
      </c>
      <c r="P41" s="20" t="s">
        <v>172</v>
      </c>
    </row>
    <row r="42">
      <c r="A42" s="10">
        <v>35.0</v>
      </c>
      <c r="B42" s="10" t="s">
        <v>31</v>
      </c>
      <c r="C42" s="10" t="s">
        <v>109</v>
      </c>
      <c r="D42" s="12">
        <f t="shared" ref="D42:I42" si="26">D14</f>
        <v>334288134</v>
      </c>
      <c r="E42" s="12">
        <f t="shared" si="26"/>
        <v>59405574</v>
      </c>
      <c r="F42" s="12">
        <f t="shared" si="26"/>
        <v>63991477</v>
      </c>
      <c r="G42" s="12">
        <f t="shared" si="26"/>
        <v>66102293</v>
      </c>
      <c r="H42" s="12">
        <f t="shared" si="26"/>
        <v>59384795</v>
      </c>
      <c r="I42" s="12">
        <f t="shared" si="26"/>
        <v>17964944</v>
      </c>
      <c r="J42" s="14">
        <f t="shared" si="22"/>
        <v>266849083</v>
      </c>
      <c r="K42" s="15">
        <f t="shared" si="23"/>
        <v>0.7982607094</v>
      </c>
      <c r="L42" s="16">
        <f t="shared" si="24"/>
        <v>266849083</v>
      </c>
      <c r="M42" s="59">
        <f t="shared" si="25"/>
        <v>0.7982607094</v>
      </c>
      <c r="N42" s="70">
        <f t="shared" ref="N42:P42" si="27">N14</f>
        <v>20</v>
      </c>
      <c r="O42" s="82">
        <f t="shared" si="27"/>
        <v>20</v>
      </c>
      <c r="P42" s="93" t="str">
        <f t="shared" si="27"/>
        <v>as of November 29, 2025</v>
      </c>
    </row>
    <row r="43">
      <c r="A43" s="10">
        <v>100.0</v>
      </c>
      <c r="B43" s="11" t="s">
        <v>32</v>
      </c>
      <c r="C43" s="10" t="s">
        <v>76</v>
      </c>
      <c r="D43" s="19">
        <f t="shared" ref="D43:H43" si="28">D15</f>
        <v>16143</v>
      </c>
      <c r="E43" s="18">
        <f t="shared" si="28"/>
        <v>2507</v>
      </c>
      <c r="F43" s="18">
        <f t="shared" si="28"/>
        <v>3560</v>
      </c>
      <c r="G43" s="18">
        <f t="shared" si="28"/>
        <v>4163</v>
      </c>
      <c r="H43" s="18">
        <f t="shared" si="28"/>
        <v>860</v>
      </c>
      <c r="I43" s="18"/>
      <c r="J43" s="45">
        <f t="shared" ref="J43:J53" si="31">SUM(E43:I43)</f>
        <v>11090</v>
      </c>
      <c r="K43" s="15">
        <f t="shared" si="23"/>
        <v>0.6869850709</v>
      </c>
      <c r="L43" s="16">
        <f t="shared" si="24"/>
        <v>11090</v>
      </c>
      <c r="M43" s="59">
        <f t="shared" si="25"/>
        <v>0.6869850709</v>
      </c>
      <c r="N43" s="62">
        <f t="shared" ref="N43:P43" si="29">N15</f>
        <v>20</v>
      </c>
      <c r="O43" s="63">
        <f t="shared" si="29"/>
        <v>20</v>
      </c>
      <c r="P43" s="64" t="str">
        <f t="shared" si="29"/>
        <v>as of November 28, 2025</v>
      </c>
    </row>
    <row r="44">
      <c r="A44" s="10">
        <v>5.0</v>
      </c>
      <c r="B44" s="10" t="s">
        <v>154</v>
      </c>
      <c r="C44" s="10" t="s">
        <v>76</v>
      </c>
      <c r="D44" s="19">
        <f t="shared" ref="D44:H44" si="30">D16</f>
        <v>300</v>
      </c>
      <c r="E44" s="18">
        <f t="shared" si="30"/>
        <v>76</v>
      </c>
      <c r="F44" s="18">
        <f t="shared" si="30"/>
        <v>92</v>
      </c>
      <c r="G44" s="18">
        <f t="shared" si="30"/>
        <v>92</v>
      </c>
      <c r="H44" s="18">
        <f t="shared" si="30"/>
        <v>28</v>
      </c>
      <c r="I44" s="18"/>
      <c r="J44" s="45">
        <f t="shared" si="31"/>
        <v>288</v>
      </c>
      <c r="K44" s="15">
        <f t="shared" si="23"/>
        <v>0.96</v>
      </c>
      <c r="L44" s="16">
        <f t="shared" si="24"/>
        <v>288</v>
      </c>
      <c r="M44" s="59">
        <f t="shared" si="25"/>
        <v>0.96</v>
      </c>
      <c r="N44" s="18">
        <f t="shared" ref="N44:N49" si="34">N16</f>
        <v>20</v>
      </c>
      <c r="O44" s="63">
        <f t="shared" ref="O44:P44" si="32">O43</f>
        <v>20</v>
      </c>
      <c r="P44" s="64" t="str">
        <f t="shared" si="32"/>
        <v>as of November 28, 2025</v>
      </c>
    </row>
    <row r="45">
      <c r="A45" s="10">
        <v>13.0</v>
      </c>
      <c r="B45" s="10" t="s">
        <v>118</v>
      </c>
      <c r="C45" s="10" t="s">
        <v>76</v>
      </c>
      <c r="D45" s="19">
        <f t="shared" ref="D45:H45" si="33">D17</f>
        <v>1700</v>
      </c>
      <c r="E45" s="18">
        <f t="shared" si="33"/>
        <v>329</v>
      </c>
      <c r="F45" s="18">
        <f t="shared" si="33"/>
        <v>426</v>
      </c>
      <c r="G45" s="18">
        <f t="shared" si="33"/>
        <v>551</v>
      </c>
      <c r="H45" s="18">
        <f t="shared" si="33"/>
        <v>152</v>
      </c>
      <c r="I45" s="18"/>
      <c r="J45" s="45">
        <f t="shared" si="31"/>
        <v>1458</v>
      </c>
      <c r="K45" s="15">
        <f t="shared" si="23"/>
        <v>0.8576470588</v>
      </c>
      <c r="L45" s="16">
        <f t="shared" si="24"/>
        <v>1458</v>
      </c>
      <c r="M45" s="59">
        <f t="shared" si="25"/>
        <v>0.8576470588</v>
      </c>
      <c r="N45" s="18">
        <f t="shared" si="34"/>
        <v>20</v>
      </c>
      <c r="O45" s="63">
        <f t="shared" ref="O45:P45" si="35">O44</f>
        <v>20</v>
      </c>
      <c r="P45" s="64" t="str">
        <f t="shared" si="35"/>
        <v>as of November 28, 2025</v>
      </c>
    </row>
    <row r="46">
      <c r="A46" s="10">
        <f t="shared" ref="A46:A49" si="38">A18</f>
        <v>39</v>
      </c>
      <c r="B46" s="11" t="s">
        <v>35</v>
      </c>
      <c r="C46" s="11" t="s">
        <v>19</v>
      </c>
      <c r="D46" s="19">
        <f t="shared" ref="D46:I46" si="36">D18</f>
        <v>449280000</v>
      </c>
      <c r="E46" s="19">
        <f t="shared" si="36"/>
        <v>149832500</v>
      </c>
      <c r="F46" s="19">
        <f t="shared" si="36"/>
        <v>163359360</v>
      </c>
      <c r="G46" s="19">
        <f t="shared" si="36"/>
        <v>293421763</v>
      </c>
      <c r="H46" s="19">
        <f t="shared" si="36"/>
        <v>247471500</v>
      </c>
      <c r="I46" s="46" t="str">
        <f t="shared" si="36"/>
        <v/>
      </c>
      <c r="J46" s="30">
        <f t="shared" si="31"/>
        <v>854085123</v>
      </c>
      <c r="K46" s="15">
        <f t="shared" si="23"/>
        <v>1.901008554</v>
      </c>
      <c r="L46" s="16">
        <f t="shared" ref="L46:L49" si="40">L18</f>
        <v>854085123</v>
      </c>
      <c r="M46" s="59">
        <f t="shared" si="25"/>
        <v>1.901008554</v>
      </c>
      <c r="N46" s="18">
        <f t="shared" si="34"/>
        <v>21</v>
      </c>
      <c r="O46" s="63">
        <f t="shared" ref="O46:P46" si="37">O18</f>
        <v>21</v>
      </c>
      <c r="P46" s="68" t="str">
        <f t="shared" si="37"/>
        <v>as of November 30, 2025</v>
      </c>
    </row>
    <row r="47">
      <c r="A47" s="10">
        <f t="shared" si="38"/>
        <v>5</v>
      </c>
      <c r="B47" s="11" t="s">
        <v>37</v>
      </c>
      <c r="C47" s="11" t="s">
        <v>19</v>
      </c>
      <c r="D47" s="19">
        <f t="shared" ref="D47:I47" si="39">D19</f>
        <v>1120</v>
      </c>
      <c r="E47" s="19">
        <f t="shared" si="39"/>
        <v>125</v>
      </c>
      <c r="F47" s="19">
        <f t="shared" si="39"/>
        <v>179</v>
      </c>
      <c r="G47" s="19">
        <f t="shared" si="39"/>
        <v>160</v>
      </c>
      <c r="H47" s="19">
        <f t="shared" si="39"/>
        <v>150</v>
      </c>
      <c r="I47" s="46" t="str">
        <f t="shared" si="39"/>
        <v/>
      </c>
      <c r="J47" s="30">
        <f t="shared" si="31"/>
        <v>614</v>
      </c>
      <c r="K47" s="15">
        <f t="shared" si="23"/>
        <v>0.5482142857</v>
      </c>
      <c r="L47" s="16">
        <f t="shared" si="40"/>
        <v>614</v>
      </c>
      <c r="M47" s="59">
        <f t="shared" si="25"/>
        <v>0.5482142857</v>
      </c>
      <c r="N47" s="18">
        <f t="shared" si="34"/>
        <v>21</v>
      </c>
      <c r="O47" s="18">
        <f t="shared" ref="O47:P47" si="41">O19</f>
        <v>21</v>
      </c>
      <c r="P47" s="68" t="str">
        <f t="shared" si="41"/>
        <v>as of November 30, 2025</v>
      </c>
    </row>
    <row r="48">
      <c r="A48" s="10">
        <f t="shared" si="38"/>
        <v>10</v>
      </c>
      <c r="B48" s="11" t="s">
        <v>38</v>
      </c>
      <c r="C48" s="11" t="s">
        <v>19</v>
      </c>
      <c r="D48" s="19">
        <f t="shared" ref="D48:I48" si="42">D20</f>
        <v>2750</v>
      </c>
      <c r="E48" s="19">
        <f t="shared" si="42"/>
        <v>388</v>
      </c>
      <c r="F48" s="19">
        <f t="shared" si="42"/>
        <v>357</v>
      </c>
      <c r="G48" s="19">
        <f t="shared" si="42"/>
        <v>311</v>
      </c>
      <c r="H48" s="19">
        <f t="shared" si="42"/>
        <v>247</v>
      </c>
      <c r="I48" s="46" t="str">
        <f t="shared" si="42"/>
        <v/>
      </c>
      <c r="J48" s="30">
        <f t="shared" si="31"/>
        <v>1303</v>
      </c>
      <c r="K48" s="15">
        <f t="shared" si="23"/>
        <v>0.4738181818</v>
      </c>
      <c r="L48" s="16">
        <f t="shared" si="40"/>
        <v>1368.15</v>
      </c>
      <c r="M48" s="59">
        <f t="shared" si="25"/>
        <v>0.4975090909</v>
      </c>
      <c r="N48" s="18">
        <f t="shared" si="34"/>
        <v>21</v>
      </c>
      <c r="O48" s="18">
        <f t="shared" ref="O48:P48" si="43">O20</f>
        <v>20</v>
      </c>
      <c r="P48" s="68" t="str">
        <f t="shared" si="43"/>
        <v>as of November 30, 2025</v>
      </c>
    </row>
    <row r="49">
      <c r="A49" s="10">
        <f t="shared" si="38"/>
        <v>25</v>
      </c>
      <c r="B49" s="10" t="s">
        <v>39</v>
      </c>
      <c r="C49" s="11" t="s">
        <v>19</v>
      </c>
      <c r="D49" s="19">
        <f t="shared" ref="D49:I49" si="44">D21</f>
        <v>6000</v>
      </c>
      <c r="E49" s="19">
        <f t="shared" si="44"/>
        <v>867</v>
      </c>
      <c r="F49" s="19">
        <f t="shared" si="44"/>
        <v>1306</v>
      </c>
      <c r="G49" s="19">
        <f t="shared" si="44"/>
        <v>1357</v>
      </c>
      <c r="H49" s="19">
        <f t="shared" si="44"/>
        <v>611</v>
      </c>
      <c r="I49" s="46" t="str">
        <f t="shared" si="44"/>
        <v/>
      </c>
      <c r="J49" s="30">
        <f t="shared" si="31"/>
        <v>4141</v>
      </c>
      <c r="K49" s="15">
        <f t="shared" si="23"/>
        <v>0.6901666667</v>
      </c>
      <c r="L49" s="16">
        <f t="shared" si="40"/>
        <v>4348.05</v>
      </c>
      <c r="M49" s="59">
        <f t="shared" si="25"/>
        <v>0.724675</v>
      </c>
      <c r="N49" s="18">
        <f t="shared" si="34"/>
        <v>21</v>
      </c>
      <c r="O49" s="18">
        <f t="shared" ref="O49:P49" si="45">O21</f>
        <v>20</v>
      </c>
      <c r="P49" s="68" t="str">
        <f t="shared" si="45"/>
        <v>as of November 30, 2025</v>
      </c>
    </row>
    <row r="50">
      <c r="A50" s="10">
        <v>20.0</v>
      </c>
      <c r="B50" s="10" t="s">
        <v>77</v>
      </c>
      <c r="C50" s="11" t="s">
        <v>19</v>
      </c>
      <c r="D50" s="12">
        <v>100.0</v>
      </c>
      <c r="E50" s="19">
        <v>25.0</v>
      </c>
      <c r="F50" s="29">
        <v>23.0</v>
      </c>
      <c r="G50" s="29">
        <v>31.0</v>
      </c>
      <c r="H50" s="29">
        <v>25.0</v>
      </c>
      <c r="I50" s="29"/>
      <c r="J50" s="30">
        <f t="shared" si="31"/>
        <v>104</v>
      </c>
      <c r="K50" s="15">
        <f t="shared" si="23"/>
        <v>1.04</v>
      </c>
      <c r="L50" s="16">
        <f t="shared" ref="L50:L53" si="47">J50/O50*N50</f>
        <v>104</v>
      </c>
      <c r="M50" s="59">
        <f t="shared" si="25"/>
        <v>1.04</v>
      </c>
      <c r="N50" s="18">
        <v>20.0</v>
      </c>
      <c r="O50" s="18">
        <f t="shared" ref="O50:P50" si="46">O22</f>
        <v>20</v>
      </c>
      <c r="P50" s="86" t="str">
        <f t="shared" si="46"/>
        <v>as of November 28, 2025</v>
      </c>
    </row>
    <row r="51">
      <c r="A51" s="10">
        <v>21.0</v>
      </c>
      <c r="B51" s="10" t="s">
        <v>73</v>
      </c>
      <c r="C51" s="11" t="s">
        <v>19</v>
      </c>
      <c r="D51" s="12">
        <v>1330.0</v>
      </c>
      <c r="E51" s="19">
        <v>209.0</v>
      </c>
      <c r="F51" s="29">
        <v>258.0</v>
      </c>
      <c r="G51" s="29">
        <v>466.0</v>
      </c>
      <c r="H51" s="87">
        <v>254.0</v>
      </c>
      <c r="I51" s="88"/>
      <c r="J51" s="30">
        <f t="shared" si="31"/>
        <v>1187</v>
      </c>
      <c r="K51" s="15">
        <f t="shared" si="23"/>
        <v>0.892481203</v>
      </c>
      <c r="L51" s="16">
        <f t="shared" si="47"/>
        <v>1187</v>
      </c>
      <c r="M51" s="59">
        <f t="shared" si="25"/>
        <v>0.892481203</v>
      </c>
      <c r="N51" s="18">
        <v>20.0</v>
      </c>
      <c r="O51" s="18">
        <v>20.0</v>
      </c>
      <c r="P51" s="20" t="s">
        <v>175</v>
      </c>
    </row>
    <row r="52">
      <c r="A52" s="10">
        <v>5.0</v>
      </c>
      <c r="B52" s="10" t="s">
        <v>134</v>
      </c>
      <c r="C52" s="11" t="s">
        <v>19</v>
      </c>
      <c r="D52" s="12">
        <v>4.1E7</v>
      </c>
      <c r="E52" s="12">
        <v>1404500.0</v>
      </c>
      <c r="F52" s="12">
        <v>6315350.0</v>
      </c>
      <c r="G52" s="12">
        <v>6753000.0</v>
      </c>
      <c r="H52" s="94">
        <v>1.70105E7</v>
      </c>
      <c r="I52" s="94">
        <v>2735000.0</v>
      </c>
      <c r="J52" s="14">
        <f t="shared" si="31"/>
        <v>34218350</v>
      </c>
      <c r="K52" s="15">
        <f t="shared" si="23"/>
        <v>0.8345939024</v>
      </c>
      <c r="L52" s="95">
        <f t="shared" si="47"/>
        <v>34218350</v>
      </c>
      <c r="M52" s="59">
        <f t="shared" si="25"/>
        <v>0.8345939024</v>
      </c>
      <c r="N52" s="18">
        <v>20.0</v>
      </c>
      <c r="O52" s="18">
        <v>20.0</v>
      </c>
      <c r="P52" s="20" t="s">
        <v>182</v>
      </c>
    </row>
    <row r="53">
      <c r="A53" s="10">
        <v>3.0</v>
      </c>
      <c r="B53" s="10" t="s">
        <v>43</v>
      </c>
      <c r="C53" s="11" t="s">
        <v>19</v>
      </c>
      <c r="D53" s="12">
        <v>40.0</v>
      </c>
      <c r="E53" s="12">
        <v>15.0</v>
      </c>
      <c r="F53" s="12">
        <v>12.0</v>
      </c>
      <c r="G53" s="12">
        <v>13.0</v>
      </c>
      <c r="H53" s="12">
        <v>13.0</v>
      </c>
      <c r="I53" s="12"/>
      <c r="J53" s="14">
        <f t="shared" si="31"/>
        <v>53</v>
      </c>
      <c r="K53" s="15">
        <f t="shared" si="23"/>
        <v>1.325</v>
      </c>
      <c r="L53" s="16">
        <f t="shared" si="47"/>
        <v>53</v>
      </c>
      <c r="M53" s="59">
        <f t="shared" si="25"/>
        <v>1.325</v>
      </c>
      <c r="N53" s="18">
        <v>20.0</v>
      </c>
      <c r="O53" s="18">
        <f t="shared" ref="O53:P53" si="48">O25</f>
        <v>20</v>
      </c>
      <c r="P53" s="86" t="str">
        <f t="shared" si="48"/>
        <v>as of November 28, 2025 final</v>
      </c>
    </row>
    <row r="54">
      <c r="A54" s="10">
        <v>45.0</v>
      </c>
      <c r="B54" s="10" t="s">
        <v>44</v>
      </c>
      <c r="C54" s="11" t="s">
        <v>19</v>
      </c>
      <c r="D54" s="21">
        <v>0.85</v>
      </c>
      <c r="E54" s="21">
        <v>0.85</v>
      </c>
      <c r="F54" s="24">
        <v>0.8642</v>
      </c>
      <c r="G54" s="24">
        <v>0.86</v>
      </c>
      <c r="H54" s="24">
        <v>0.87</v>
      </c>
      <c r="I54" s="24">
        <v>0.88</v>
      </c>
      <c r="J54" s="57">
        <f>I54</f>
        <v>0.88</v>
      </c>
      <c r="K54" s="15">
        <f t="shared" si="23"/>
        <v>1.035294118</v>
      </c>
      <c r="L54" s="15">
        <f t="shared" ref="L54:L55" si="51">K54</f>
        <v>1.035294118</v>
      </c>
      <c r="M54" s="59">
        <f t="shared" ref="M54:M55" si="52">K54</f>
        <v>1.035294118</v>
      </c>
      <c r="N54" s="18">
        <v>30.0</v>
      </c>
      <c r="O54" s="18">
        <f t="shared" ref="O54:P54" si="49">O26</f>
        <v>30</v>
      </c>
      <c r="P54" s="86" t="str">
        <f t="shared" si="49"/>
        <v>as of November 30 2025 final</v>
      </c>
    </row>
    <row r="55">
      <c r="A55" s="10">
        <v>88.0</v>
      </c>
      <c r="B55" s="10" t="s">
        <v>120</v>
      </c>
      <c r="C55" s="10" t="s">
        <v>121</v>
      </c>
      <c r="D55" s="21">
        <f t="shared" ref="D55:J55" si="50">D27</f>
        <v>0.85</v>
      </c>
      <c r="E55" s="23">
        <f t="shared" si="50"/>
        <v>0.8047</v>
      </c>
      <c r="F55" s="23">
        <f t="shared" si="50"/>
        <v>0.8081</v>
      </c>
      <c r="G55" s="23">
        <f t="shared" si="50"/>
        <v>0.7814</v>
      </c>
      <c r="H55" s="23">
        <f t="shared" si="50"/>
        <v>0.7556</v>
      </c>
      <c r="I55" s="23" t="str">
        <f t="shared" si="50"/>
        <v/>
      </c>
      <c r="J55" s="23">
        <f t="shared" si="50"/>
        <v>0.78745</v>
      </c>
      <c r="K55" s="15">
        <f t="shared" si="23"/>
        <v>0.9264117647</v>
      </c>
      <c r="L55" s="15">
        <f t="shared" si="51"/>
        <v>0.9264117647</v>
      </c>
      <c r="M55" s="59">
        <f t="shared" si="52"/>
        <v>0.9264117647</v>
      </c>
      <c r="N55" s="19">
        <v>30.0</v>
      </c>
      <c r="O55" s="19">
        <f t="shared" ref="O55:P55" si="53">O27</f>
        <v>30</v>
      </c>
      <c r="P55" s="101" t="str">
        <f t="shared" si="53"/>
        <v>as of November 30 2025</v>
      </c>
    </row>
    <row r="56">
      <c r="A56" s="35"/>
      <c r="B56" s="35"/>
      <c r="C56" s="35"/>
      <c r="D56" s="38"/>
      <c r="E56" s="38"/>
      <c r="F56" s="38"/>
      <c r="G56" s="38"/>
      <c r="H56" s="38"/>
      <c r="I56" s="38"/>
      <c r="J56" s="38"/>
      <c r="K56" s="38"/>
      <c r="L56" s="38"/>
      <c r="M56" s="74"/>
      <c r="N56" s="38"/>
      <c r="O56" s="38"/>
    </row>
    <row r="57">
      <c r="A57" s="35"/>
      <c r="B57" s="35"/>
      <c r="C57" s="35"/>
      <c r="D57" s="38"/>
      <c r="E57" s="38"/>
      <c r="F57" s="36"/>
      <c r="G57" s="38"/>
      <c r="H57" s="38"/>
      <c r="I57" s="38"/>
      <c r="J57" s="55"/>
      <c r="K57" s="56"/>
      <c r="L57" s="38"/>
      <c r="M57" s="38"/>
      <c r="N57" s="38"/>
      <c r="O57" s="38"/>
    </row>
    <row r="58">
      <c r="A58" s="35"/>
      <c r="B58" s="35"/>
      <c r="C58" s="35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</row>
    <row r="59">
      <c r="A59" s="35"/>
      <c r="C59" s="35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</row>
    <row r="60">
      <c r="A60" s="35"/>
      <c r="B60" s="35"/>
      <c r="C60" s="35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</row>
    <row r="61">
      <c r="A61" s="35"/>
      <c r="B61" s="35"/>
      <c r="C61" s="35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</row>
    <row r="62">
      <c r="A62" s="35"/>
      <c r="B62" s="35"/>
      <c r="C62" s="35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</row>
    <row r="63">
      <c r="A63" s="35"/>
      <c r="B63" s="35"/>
      <c r="C63" s="35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</row>
    <row r="64">
      <c r="A64" s="35"/>
      <c r="B64" s="35"/>
      <c r="C64" s="35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</row>
    <row r="65">
      <c r="A65" s="35"/>
      <c r="B65" s="35"/>
      <c r="C65" s="35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</row>
    <row r="66">
      <c r="A66" s="35"/>
      <c r="B66" s="35"/>
      <c r="C66" s="35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</row>
    <row r="67">
      <c r="A67" s="35"/>
      <c r="B67" s="35"/>
      <c r="C67" s="35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</row>
    <row r="68">
      <c r="A68" s="35"/>
      <c r="B68" s="35"/>
      <c r="C68" s="35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</row>
    <row r="69">
      <c r="A69" s="35"/>
      <c r="B69" s="35"/>
      <c r="C69" s="35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</row>
    <row r="70">
      <c r="A70" s="35"/>
      <c r="B70" s="35"/>
      <c r="C70" s="35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</row>
    <row r="71">
      <c r="A71" s="35"/>
      <c r="B71" s="35"/>
      <c r="C71" s="35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</row>
    <row r="72">
      <c r="A72" s="35"/>
      <c r="B72" s="35"/>
      <c r="C72" s="35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</row>
    <row r="73">
      <c r="A73" s="35"/>
      <c r="B73" s="35"/>
      <c r="C73" s="35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</row>
    <row r="74">
      <c r="A74" s="35"/>
      <c r="B74" s="35"/>
      <c r="C74" s="35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</row>
    <row r="75">
      <c r="A75" s="35"/>
      <c r="B75" s="35"/>
      <c r="C75" s="35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</row>
    <row r="76">
      <c r="A76" s="35"/>
      <c r="B76" s="35"/>
      <c r="C76" s="35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</row>
    <row r="77">
      <c r="A77" s="35"/>
      <c r="B77" s="35"/>
      <c r="C77" s="35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</row>
    <row r="78">
      <c r="A78" s="35"/>
      <c r="B78" s="35"/>
      <c r="C78" s="35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</row>
    <row r="79">
      <c r="A79" s="35"/>
      <c r="B79" s="35"/>
      <c r="C79" s="35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</row>
    <row r="80">
      <c r="A80" s="35"/>
      <c r="B80" s="35"/>
      <c r="C80" s="35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</row>
    <row r="81">
      <c r="A81" s="35"/>
      <c r="B81" s="35"/>
      <c r="C81" s="35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</row>
    <row r="82">
      <c r="A82" s="35"/>
      <c r="B82" s="35"/>
      <c r="C82" s="35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</row>
    <row r="83">
      <c r="A83" s="35"/>
      <c r="B83" s="35"/>
      <c r="C83" s="35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</row>
    <row r="84">
      <c r="A84" s="35"/>
      <c r="B84" s="35"/>
      <c r="C84" s="35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</row>
    <row r="85">
      <c r="A85" s="35"/>
      <c r="B85" s="35"/>
      <c r="C85" s="35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</row>
    <row r="86">
      <c r="A86" s="35"/>
      <c r="B86" s="35"/>
      <c r="C86" s="35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</row>
    <row r="87">
      <c r="A87" s="35"/>
      <c r="B87" s="35"/>
      <c r="C87" s="35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</row>
    <row r="88">
      <c r="A88" s="35"/>
      <c r="B88" s="35"/>
      <c r="C88" s="35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</row>
    <row r="89">
      <c r="A89" s="35"/>
      <c r="B89" s="35"/>
      <c r="C89" s="35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</row>
    <row r="90">
      <c r="A90" s="35"/>
      <c r="B90" s="35"/>
      <c r="C90" s="35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</row>
    <row r="91">
      <c r="A91" s="35"/>
      <c r="B91" s="35"/>
      <c r="C91" s="35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</row>
    <row r="92">
      <c r="A92" s="35"/>
      <c r="B92" s="35"/>
      <c r="C92" s="35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</row>
    <row r="93">
      <c r="A93" s="35"/>
      <c r="B93" s="35"/>
      <c r="C93" s="35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</row>
    <row r="94">
      <c r="A94" s="35"/>
      <c r="B94" s="35"/>
      <c r="C94" s="35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</row>
    <row r="95">
      <c r="A95" s="35"/>
      <c r="B95" s="35"/>
      <c r="C95" s="35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</row>
    <row r="96">
      <c r="A96" s="35"/>
      <c r="B96" s="35"/>
      <c r="C96" s="35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</row>
    <row r="97">
      <c r="A97" s="35"/>
      <c r="B97" s="35"/>
      <c r="C97" s="35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</row>
    <row r="98">
      <c r="A98" s="35"/>
      <c r="B98" s="35"/>
      <c r="C98" s="35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</row>
    <row r="99">
      <c r="A99" s="35"/>
      <c r="B99" s="35"/>
      <c r="C99" s="35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</row>
    <row r="100">
      <c r="A100" s="35"/>
      <c r="B100" s="35"/>
      <c r="C100" s="35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</row>
    <row r="101">
      <c r="A101" s="35"/>
      <c r="B101" s="35"/>
      <c r="C101" s="35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</row>
    <row r="102">
      <c r="A102" s="35"/>
      <c r="B102" s="35"/>
      <c r="C102" s="35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</row>
    <row r="103">
      <c r="A103" s="35"/>
      <c r="B103" s="35"/>
      <c r="C103" s="35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</row>
    <row r="104">
      <c r="A104" s="35"/>
      <c r="B104" s="35"/>
      <c r="C104" s="35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</row>
    <row r="105">
      <c r="A105" s="35"/>
      <c r="B105" s="35"/>
      <c r="C105" s="35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</row>
    <row r="106">
      <c r="A106" s="35"/>
      <c r="B106" s="35"/>
      <c r="C106" s="35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</row>
    <row r="107">
      <c r="A107" s="35"/>
      <c r="B107" s="35"/>
      <c r="C107" s="35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</row>
    <row r="108">
      <c r="A108" s="35"/>
      <c r="B108" s="35"/>
      <c r="C108" s="35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</row>
    <row r="109">
      <c r="A109" s="35"/>
      <c r="B109" s="35"/>
      <c r="C109" s="35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</row>
    <row r="110">
      <c r="A110" s="35"/>
      <c r="B110" s="35"/>
      <c r="C110" s="35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</row>
    <row r="111">
      <c r="A111" s="35"/>
      <c r="B111" s="35"/>
      <c r="C111" s="35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</row>
    <row r="112">
      <c r="A112" s="35"/>
      <c r="B112" s="35"/>
      <c r="C112" s="35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</row>
    <row r="113">
      <c r="A113" s="35"/>
      <c r="B113" s="35"/>
      <c r="C113" s="35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</row>
    <row r="114">
      <c r="A114" s="35"/>
      <c r="B114" s="35"/>
      <c r="C114" s="35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</row>
    <row r="115">
      <c r="A115" s="35"/>
      <c r="B115" s="35"/>
      <c r="C115" s="35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</row>
    <row r="116">
      <c r="A116" s="35"/>
      <c r="B116" s="35"/>
      <c r="C116" s="35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</row>
    <row r="117">
      <c r="A117" s="35"/>
      <c r="B117" s="35"/>
      <c r="C117" s="35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</row>
    <row r="118">
      <c r="A118" s="35"/>
      <c r="B118" s="35"/>
      <c r="C118" s="35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</row>
    <row r="119">
      <c r="A119" s="35"/>
      <c r="B119" s="35"/>
      <c r="C119" s="35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</row>
    <row r="120">
      <c r="A120" s="35"/>
      <c r="B120" s="35"/>
      <c r="C120" s="35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</row>
    <row r="121">
      <c r="A121" s="35"/>
      <c r="B121" s="35"/>
      <c r="C121" s="35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</row>
    <row r="122">
      <c r="A122" s="35"/>
      <c r="B122" s="35"/>
      <c r="C122" s="35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</row>
    <row r="123">
      <c r="A123" s="35"/>
      <c r="B123" s="35"/>
      <c r="C123" s="35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</row>
    <row r="124">
      <c r="A124" s="35"/>
      <c r="B124" s="35"/>
      <c r="C124" s="35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</row>
    <row r="125">
      <c r="A125" s="35"/>
      <c r="B125" s="35"/>
      <c r="C125" s="35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</row>
    <row r="126">
      <c r="A126" s="35"/>
      <c r="B126" s="35"/>
      <c r="C126" s="35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</row>
    <row r="127">
      <c r="A127" s="35"/>
      <c r="B127" s="35"/>
      <c r="C127" s="35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</row>
    <row r="128">
      <c r="A128" s="35"/>
      <c r="B128" s="35"/>
      <c r="C128" s="35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</row>
    <row r="129">
      <c r="A129" s="35"/>
      <c r="B129" s="35"/>
      <c r="C129" s="35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</row>
    <row r="130">
      <c r="A130" s="35"/>
      <c r="B130" s="35"/>
      <c r="C130" s="35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</row>
    <row r="131">
      <c r="A131" s="35"/>
      <c r="B131" s="35"/>
      <c r="C131" s="35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</row>
    <row r="132">
      <c r="A132" s="35"/>
      <c r="B132" s="35"/>
      <c r="C132" s="35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</row>
    <row r="133">
      <c r="A133" s="35"/>
      <c r="B133" s="35"/>
      <c r="C133" s="35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</row>
    <row r="134">
      <c r="A134" s="35"/>
      <c r="B134" s="35"/>
      <c r="C134" s="35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</row>
    <row r="135">
      <c r="A135" s="35"/>
      <c r="B135" s="35"/>
      <c r="C135" s="35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</row>
    <row r="136">
      <c r="A136" s="35"/>
      <c r="B136" s="35"/>
      <c r="C136" s="35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</row>
    <row r="137">
      <c r="A137" s="35"/>
      <c r="B137" s="35"/>
      <c r="C137" s="35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</row>
    <row r="138">
      <c r="A138" s="35"/>
      <c r="B138" s="35"/>
      <c r="C138" s="35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</row>
    <row r="139">
      <c r="A139" s="35"/>
      <c r="B139" s="35"/>
      <c r="C139" s="35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</row>
    <row r="140">
      <c r="A140" s="35"/>
      <c r="B140" s="35"/>
      <c r="C140" s="35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</row>
    <row r="141">
      <c r="A141" s="35"/>
      <c r="B141" s="35"/>
      <c r="C141" s="35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</row>
    <row r="142">
      <c r="A142" s="35"/>
      <c r="B142" s="35"/>
      <c r="C142" s="35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</row>
    <row r="143">
      <c r="A143" s="35"/>
      <c r="B143" s="35"/>
      <c r="C143" s="35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</row>
    <row r="144">
      <c r="A144" s="35"/>
      <c r="B144" s="35"/>
      <c r="C144" s="35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</row>
    <row r="145">
      <c r="A145" s="35"/>
      <c r="B145" s="35"/>
      <c r="C145" s="35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</row>
    <row r="146">
      <c r="A146" s="35"/>
      <c r="B146" s="35"/>
      <c r="C146" s="35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</row>
    <row r="147">
      <c r="A147" s="35"/>
      <c r="B147" s="35"/>
      <c r="C147" s="35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</row>
    <row r="148">
      <c r="A148" s="35"/>
      <c r="B148" s="35"/>
      <c r="C148" s="35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</row>
    <row r="149">
      <c r="A149" s="35"/>
      <c r="B149" s="35"/>
      <c r="C149" s="35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</row>
    <row r="150">
      <c r="A150" s="35"/>
      <c r="B150" s="35"/>
      <c r="C150" s="35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</row>
    <row r="151">
      <c r="A151" s="35"/>
      <c r="B151" s="35"/>
      <c r="C151" s="35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</row>
    <row r="152">
      <c r="A152" s="35"/>
      <c r="B152" s="35"/>
      <c r="C152" s="35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</row>
    <row r="153">
      <c r="A153" s="35"/>
      <c r="B153" s="35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</row>
    <row r="154">
      <c r="A154" s="35"/>
      <c r="B154" s="35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</row>
    <row r="155">
      <c r="A155" s="35"/>
      <c r="B155" s="35"/>
      <c r="C155" s="35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</row>
    <row r="156">
      <c r="A156" s="35"/>
      <c r="B156" s="35"/>
      <c r="C156" s="35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</row>
    <row r="157">
      <c r="A157" s="35"/>
      <c r="B157" s="35"/>
      <c r="C157" s="35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</row>
    <row r="158">
      <c r="A158" s="35"/>
      <c r="B158" s="35"/>
      <c r="C158" s="35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</row>
    <row r="159">
      <c r="A159" s="35"/>
      <c r="B159" s="35"/>
      <c r="C159" s="35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</row>
    <row r="160">
      <c r="A160" s="35"/>
      <c r="B160" s="35"/>
      <c r="C160" s="35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</row>
    <row r="161">
      <c r="A161" s="35"/>
      <c r="B161" s="35"/>
      <c r="C161" s="35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</row>
    <row r="162">
      <c r="A162" s="35"/>
      <c r="B162" s="35"/>
      <c r="C162" s="35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</row>
    <row r="163">
      <c r="A163" s="35"/>
      <c r="B163" s="35"/>
      <c r="C163" s="35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</row>
    <row r="164">
      <c r="A164" s="35"/>
      <c r="B164" s="35"/>
      <c r="C164" s="35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</row>
    <row r="165">
      <c r="A165" s="35"/>
      <c r="B165" s="35"/>
      <c r="C165" s="35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</row>
    <row r="166">
      <c r="A166" s="35"/>
      <c r="B166" s="35"/>
      <c r="C166" s="35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</row>
    <row r="167">
      <c r="A167" s="35"/>
      <c r="B167" s="35"/>
      <c r="C167" s="35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</row>
    <row r="168">
      <c r="A168" s="35"/>
      <c r="B168" s="35"/>
      <c r="C168" s="35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</row>
    <row r="169">
      <c r="A169" s="35"/>
      <c r="B169" s="35"/>
      <c r="C169" s="35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</row>
    <row r="170">
      <c r="A170" s="35"/>
      <c r="B170" s="35"/>
      <c r="C170" s="35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</row>
    <row r="171">
      <c r="A171" s="35"/>
      <c r="B171" s="35"/>
      <c r="C171" s="35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</row>
    <row r="172">
      <c r="A172" s="35"/>
      <c r="B172" s="35"/>
      <c r="C172" s="35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</row>
    <row r="173">
      <c r="A173" s="35"/>
      <c r="B173" s="35"/>
      <c r="C173" s="35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</row>
    <row r="174">
      <c r="A174" s="35"/>
      <c r="B174" s="35"/>
      <c r="C174" s="35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</row>
    <row r="175">
      <c r="A175" s="35"/>
      <c r="B175" s="35"/>
      <c r="C175" s="35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</row>
    <row r="176">
      <c r="A176" s="35"/>
      <c r="B176" s="35"/>
      <c r="C176" s="35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</row>
    <row r="177">
      <c r="A177" s="35"/>
      <c r="B177" s="35"/>
      <c r="C177" s="35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</row>
    <row r="178">
      <c r="A178" s="35"/>
      <c r="B178" s="35"/>
      <c r="C178" s="35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</row>
    <row r="179">
      <c r="A179" s="35"/>
      <c r="B179" s="35"/>
      <c r="C179" s="35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</row>
    <row r="180">
      <c r="A180" s="35"/>
      <c r="B180" s="35"/>
      <c r="C180" s="35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</row>
    <row r="181">
      <c r="A181" s="35"/>
      <c r="B181" s="35"/>
      <c r="C181" s="35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</row>
    <row r="182">
      <c r="A182" s="35"/>
      <c r="B182" s="35"/>
      <c r="C182" s="35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</row>
    <row r="183">
      <c r="A183" s="35"/>
      <c r="B183" s="35"/>
      <c r="C183" s="35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</row>
    <row r="184">
      <c r="A184" s="35"/>
      <c r="B184" s="35"/>
      <c r="C184" s="35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</row>
    <row r="185">
      <c r="A185" s="35"/>
      <c r="B185" s="35"/>
      <c r="C185" s="35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</row>
    <row r="186">
      <c r="A186" s="35"/>
      <c r="B186" s="35"/>
      <c r="C186" s="35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</row>
    <row r="187">
      <c r="A187" s="35"/>
      <c r="B187" s="35"/>
      <c r="C187" s="35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</row>
    <row r="188">
      <c r="A188" s="35"/>
      <c r="B188" s="35"/>
      <c r="C188" s="35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</row>
    <row r="189">
      <c r="A189" s="35"/>
      <c r="B189" s="35"/>
      <c r="C189" s="35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</row>
    <row r="190">
      <c r="A190" s="35"/>
      <c r="B190" s="35"/>
      <c r="C190" s="35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</row>
    <row r="191">
      <c r="A191" s="35"/>
      <c r="B191" s="35"/>
      <c r="C191" s="35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</row>
    <row r="192">
      <c r="A192" s="35"/>
      <c r="B192" s="35"/>
      <c r="C192" s="35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</row>
    <row r="193">
      <c r="A193" s="35"/>
      <c r="B193" s="35"/>
      <c r="C193" s="35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</row>
    <row r="194">
      <c r="A194" s="35"/>
      <c r="B194" s="35"/>
      <c r="C194" s="35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</row>
    <row r="195">
      <c r="A195" s="35"/>
      <c r="B195" s="35"/>
      <c r="C195" s="35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</row>
    <row r="196">
      <c r="A196" s="35"/>
      <c r="B196" s="35"/>
      <c r="C196" s="35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</row>
    <row r="197">
      <c r="A197" s="35"/>
      <c r="B197" s="35"/>
      <c r="C197" s="35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</row>
    <row r="198">
      <c r="A198" s="35"/>
      <c r="B198" s="35"/>
      <c r="C198" s="35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</row>
    <row r="199">
      <c r="A199" s="35"/>
      <c r="B199" s="35"/>
      <c r="C199" s="35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</row>
    <row r="200">
      <c r="A200" s="35"/>
      <c r="B200" s="35"/>
      <c r="C200" s="35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</row>
    <row r="201">
      <c r="A201" s="35"/>
      <c r="B201" s="35"/>
      <c r="C201" s="35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</row>
    <row r="202">
      <c r="A202" s="35"/>
      <c r="B202" s="35"/>
      <c r="C202" s="35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</row>
    <row r="203">
      <c r="A203" s="35"/>
      <c r="B203" s="35"/>
      <c r="C203" s="35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</row>
    <row r="204">
      <c r="A204" s="35"/>
      <c r="B204" s="35"/>
      <c r="C204" s="35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</row>
    <row r="205">
      <c r="A205" s="35"/>
      <c r="B205" s="35"/>
      <c r="C205" s="35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</row>
    <row r="206">
      <c r="A206" s="35"/>
      <c r="B206" s="35"/>
      <c r="C206" s="35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</row>
    <row r="207">
      <c r="A207" s="35"/>
      <c r="B207" s="35"/>
      <c r="C207" s="35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</row>
    <row r="208">
      <c r="A208" s="35"/>
      <c r="B208" s="35"/>
      <c r="C208" s="35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</row>
    <row r="209">
      <c r="A209" s="35"/>
      <c r="B209" s="35"/>
      <c r="C209" s="35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</row>
    <row r="210">
      <c r="A210" s="35"/>
      <c r="B210" s="35"/>
      <c r="C210" s="35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</row>
    <row r="211">
      <c r="A211" s="35"/>
      <c r="B211" s="35"/>
      <c r="C211" s="35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</row>
    <row r="212">
      <c r="A212" s="35"/>
      <c r="B212" s="35"/>
      <c r="C212" s="35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</row>
    <row r="213">
      <c r="A213" s="35"/>
      <c r="B213" s="35"/>
      <c r="C213" s="35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</row>
    <row r="214">
      <c r="A214" s="35"/>
      <c r="B214" s="35"/>
      <c r="C214" s="35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</row>
    <row r="215">
      <c r="A215" s="35"/>
      <c r="B215" s="35"/>
      <c r="C215" s="35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</row>
    <row r="216">
      <c r="A216" s="35"/>
      <c r="B216" s="35"/>
      <c r="C216" s="35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</row>
    <row r="217">
      <c r="A217" s="35"/>
      <c r="B217" s="35"/>
      <c r="C217" s="35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</row>
    <row r="218">
      <c r="A218" s="35"/>
      <c r="B218" s="35"/>
      <c r="C218" s="35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</row>
    <row r="219">
      <c r="A219" s="35"/>
      <c r="B219" s="35"/>
      <c r="C219" s="35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</row>
    <row r="220">
      <c r="A220" s="35"/>
      <c r="B220" s="35"/>
      <c r="C220" s="35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</row>
    <row r="221">
      <c r="A221" s="35"/>
      <c r="B221" s="35"/>
      <c r="C221" s="35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</row>
    <row r="222">
      <c r="A222" s="35"/>
      <c r="B222" s="35"/>
      <c r="C222" s="35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</row>
    <row r="223">
      <c r="A223" s="35"/>
      <c r="B223" s="35"/>
      <c r="C223" s="35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</row>
    <row r="224">
      <c r="A224" s="35"/>
      <c r="B224" s="35"/>
      <c r="C224" s="35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</row>
    <row r="225">
      <c r="A225" s="35"/>
      <c r="B225" s="35"/>
      <c r="C225" s="35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</row>
    <row r="226">
      <c r="A226" s="35"/>
      <c r="B226" s="35"/>
      <c r="C226" s="35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</row>
    <row r="227">
      <c r="A227" s="35"/>
      <c r="B227" s="35"/>
      <c r="C227" s="35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</row>
    <row r="228">
      <c r="A228" s="35"/>
      <c r="B228" s="35"/>
      <c r="C228" s="35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</row>
    <row r="229">
      <c r="A229" s="35"/>
      <c r="B229" s="35"/>
      <c r="C229" s="35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</row>
    <row r="230">
      <c r="A230" s="35"/>
      <c r="B230" s="35"/>
      <c r="C230" s="35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</row>
    <row r="231">
      <c r="A231" s="35"/>
      <c r="B231" s="35"/>
      <c r="C231" s="35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</row>
    <row r="232">
      <c r="A232" s="35"/>
      <c r="B232" s="35"/>
      <c r="C232" s="35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</row>
    <row r="233">
      <c r="A233" s="35"/>
      <c r="B233" s="35"/>
      <c r="C233" s="35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</row>
    <row r="234">
      <c r="A234" s="35"/>
      <c r="B234" s="35"/>
      <c r="C234" s="35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</row>
    <row r="235">
      <c r="A235" s="35"/>
      <c r="B235" s="35"/>
      <c r="C235" s="35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</row>
    <row r="236">
      <c r="A236" s="35"/>
      <c r="B236" s="35"/>
      <c r="C236" s="35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</row>
    <row r="237">
      <c r="A237" s="35"/>
      <c r="B237" s="35"/>
      <c r="C237" s="35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</row>
    <row r="238">
      <c r="A238" s="35"/>
      <c r="B238" s="35"/>
      <c r="C238" s="35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</row>
    <row r="239">
      <c r="A239" s="35"/>
      <c r="B239" s="35"/>
      <c r="C239" s="35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</row>
    <row r="240">
      <c r="A240" s="35"/>
      <c r="B240" s="35"/>
      <c r="C240" s="35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</row>
    <row r="241">
      <c r="A241" s="35"/>
      <c r="B241" s="35"/>
      <c r="C241" s="35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</row>
    <row r="242">
      <c r="A242" s="35"/>
      <c r="B242" s="35"/>
      <c r="C242" s="35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</row>
    <row r="243">
      <c r="A243" s="35"/>
      <c r="B243" s="35"/>
      <c r="C243" s="35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</row>
    <row r="244">
      <c r="A244" s="35"/>
      <c r="B244" s="35"/>
      <c r="C244" s="35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</row>
    <row r="245">
      <c r="A245" s="35"/>
      <c r="B245" s="35"/>
      <c r="C245" s="35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</row>
    <row r="246">
      <c r="A246" s="35"/>
      <c r="B246" s="35"/>
      <c r="C246" s="35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</row>
    <row r="247">
      <c r="A247" s="35"/>
      <c r="B247" s="35"/>
      <c r="C247" s="35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</row>
    <row r="248">
      <c r="A248" s="35"/>
      <c r="B248" s="35"/>
      <c r="C248" s="35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</row>
    <row r="249">
      <c r="A249" s="35"/>
      <c r="B249" s="35"/>
      <c r="C249" s="35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</row>
    <row r="250">
      <c r="A250" s="35"/>
      <c r="B250" s="35"/>
      <c r="C250" s="35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</row>
    <row r="251">
      <c r="A251" s="35"/>
      <c r="B251" s="35"/>
      <c r="C251" s="35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</row>
    <row r="252">
      <c r="A252" s="35"/>
      <c r="B252" s="35"/>
      <c r="C252" s="35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</row>
    <row r="253">
      <c r="A253" s="35"/>
      <c r="B253" s="35"/>
      <c r="C253" s="35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</row>
    <row r="254">
      <c r="A254" s="35"/>
      <c r="B254" s="35"/>
      <c r="C254" s="35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</row>
    <row r="255">
      <c r="A255" s="35"/>
      <c r="B255" s="35"/>
      <c r="C255" s="35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</row>
    <row r="256">
      <c r="A256" s="35"/>
      <c r="B256" s="35"/>
      <c r="C256" s="35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</row>
    <row r="257">
      <c r="A257" s="35"/>
      <c r="B257" s="35"/>
      <c r="C257" s="35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</row>
    <row r="258">
      <c r="A258" s="35"/>
      <c r="B258" s="35"/>
      <c r="C258" s="35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</row>
    <row r="259">
      <c r="A259" s="35"/>
      <c r="B259" s="35"/>
      <c r="C259" s="35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</row>
    <row r="260">
      <c r="A260" s="35"/>
      <c r="B260" s="35"/>
      <c r="C260" s="35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</row>
    <row r="261">
      <c r="A261" s="35"/>
      <c r="B261" s="35"/>
      <c r="C261" s="35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</row>
    <row r="262">
      <c r="A262" s="35"/>
      <c r="B262" s="35"/>
      <c r="C262" s="35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</row>
    <row r="263">
      <c r="A263" s="35"/>
      <c r="B263" s="35"/>
      <c r="C263" s="35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</row>
    <row r="264">
      <c r="A264" s="35"/>
      <c r="B264" s="35"/>
      <c r="C264" s="35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</row>
    <row r="265">
      <c r="A265" s="35"/>
      <c r="B265" s="35"/>
      <c r="C265" s="35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</row>
    <row r="266">
      <c r="A266" s="35"/>
      <c r="B266" s="35"/>
      <c r="C266" s="35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</row>
    <row r="267">
      <c r="A267" s="35"/>
      <c r="B267" s="35"/>
      <c r="C267" s="35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</row>
    <row r="268">
      <c r="A268" s="35"/>
      <c r="B268" s="35"/>
      <c r="C268" s="35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</row>
    <row r="269">
      <c r="A269" s="35"/>
      <c r="B269" s="35"/>
      <c r="C269" s="35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</row>
    <row r="270">
      <c r="A270" s="35"/>
      <c r="B270" s="35"/>
      <c r="C270" s="35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</row>
    <row r="271">
      <c r="A271" s="35"/>
      <c r="B271" s="35"/>
      <c r="C271" s="35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</row>
    <row r="272">
      <c r="A272" s="35"/>
      <c r="B272" s="35"/>
      <c r="C272" s="35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</row>
    <row r="273">
      <c r="A273" s="35"/>
      <c r="B273" s="35"/>
      <c r="C273" s="35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</row>
    <row r="274">
      <c r="A274" s="35"/>
      <c r="B274" s="35"/>
      <c r="C274" s="35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</row>
    <row r="275">
      <c r="A275" s="35"/>
      <c r="B275" s="35"/>
      <c r="C275" s="35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</row>
    <row r="276">
      <c r="A276" s="35"/>
      <c r="B276" s="35"/>
      <c r="C276" s="35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</row>
    <row r="277">
      <c r="A277" s="35"/>
      <c r="B277" s="35"/>
      <c r="C277" s="35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</row>
    <row r="278">
      <c r="A278" s="35"/>
      <c r="B278" s="35"/>
      <c r="C278" s="35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</row>
    <row r="279">
      <c r="A279" s="35"/>
      <c r="B279" s="35"/>
      <c r="C279" s="35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</row>
    <row r="280">
      <c r="A280" s="35"/>
      <c r="B280" s="35"/>
      <c r="C280" s="35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</row>
    <row r="281">
      <c r="A281" s="35"/>
      <c r="B281" s="35"/>
      <c r="C281" s="35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</row>
    <row r="282">
      <c r="A282" s="35"/>
      <c r="B282" s="35"/>
      <c r="C282" s="35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</row>
    <row r="283">
      <c r="A283" s="35"/>
      <c r="B283" s="35"/>
      <c r="C283" s="35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</row>
    <row r="284">
      <c r="A284" s="35"/>
      <c r="B284" s="35"/>
      <c r="C284" s="35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</row>
    <row r="285">
      <c r="A285" s="35"/>
      <c r="B285" s="35"/>
      <c r="C285" s="35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</row>
    <row r="286">
      <c r="A286" s="35"/>
      <c r="B286" s="35"/>
      <c r="C286" s="35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</row>
    <row r="287">
      <c r="A287" s="35"/>
      <c r="B287" s="35"/>
      <c r="C287" s="35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</row>
    <row r="288">
      <c r="A288" s="35"/>
      <c r="B288" s="35"/>
      <c r="C288" s="35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</row>
    <row r="289">
      <c r="A289" s="35"/>
      <c r="B289" s="35"/>
      <c r="C289" s="35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</row>
    <row r="290">
      <c r="A290" s="35"/>
      <c r="B290" s="35"/>
      <c r="C290" s="35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</row>
    <row r="291">
      <c r="A291" s="35"/>
      <c r="B291" s="35"/>
      <c r="C291" s="35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</row>
    <row r="292">
      <c r="A292" s="35"/>
      <c r="B292" s="35"/>
      <c r="C292" s="35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</row>
    <row r="293">
      <c r="A293" s="35"/>
      <c r="B293" s="35"/>
      <c r="C293" s="35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</row>
    <row r="294">
      <c r="A294" s="35"/>
      <c r="B294" s="35"/>
      <c r="C294" s="35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</row>
    <row r="295">
      <c r="A295" s="35"/>
      <c r="B295" s="35"/>
      <c r="C295" s="35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</row>
    <row r="296">
      <c r="A296" s="35"/>
      <c r="B296" s="35"/>
      <c r="C296" s="35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</row>
    <row r="297">
      <c r="A297" s="35"/>
      <c r="B297" s="35"/>
      <c r="C297" s="35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</row>
    <row r="298">
      <c r="A298" s="35"/>
      <c r="B298" s="35"/>
      <c r="C298" s="35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</row>
    <row r="299">
      <c r="A299" s="35"/>
      <c r="B299" s="35"/>
      <c r="C299" s="35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</row>
    <row r="300">
      <c r="A300" s="35"/>
      <c r="B300" s="35"/>
      <c r="C300" s="35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</row>
    <row r="301">
      <c r="A301" s="35"/>
      <c r="B301" s="35"/>
      <c r="C301" s="35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</row>
    <row r="302">
      <c r="A302" s="35"/>
      <c r="B302" s="35"/>
      <c r="C302" s="35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</row>
    <row r="303">
      <c r="A303" s="35"/>
      <c r="B303" s="35"/>
      <c r="C303" s="35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</row>
    <row r="304">
      <c r="A304" s="35"/>
      <c r="B304" s="35"/>
      <c r="C304" s="35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</row>
    <row r="305">
      <c r="A305" s="35"/>
      <c r="B305" s="35"/>
      <c r="C305" s="35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</row>
    <row r="306">
      <c r="A306" s="35"/>
      <c r="B306" s="35"/>
      <c r="C306" s="35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</row>
    <row r="307">
      <c r="A307" s="35"/>
      <c r="B307" s="35"/>
      <c r="C307" s="35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</row>
    <row r="308">
      <c r="A308" s="35"/>
      <c r="B308" s="35"/>
      <c r="C308" s="35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</row>
    <row r="309">
      <c r="A309" s="35"/>
      <c r="B309" s="35"/>
      <c r="C309" s="35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</row>
    <row r="310">
      <c r="A310" s="35"/>
      <c r="B310" s="35"/>
      <c r="C310" s="35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</row>
    <row r="311">
      <c r="A311" s="35"/>
      <c r="B311" s="35"/>
      <c r="C311" s="35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</row>
    <row r="312">
      <c r="A312" s="35"/>
      <c r="B312" s="35"/>
      <c r="C312" s="35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</row>
    <row r="313">
      <c r="A313" s="35"/>
      <c r="B313" s="35"/>
      <c r="C313" s="35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</row>
    <row r="314">
      <c r="A314" s="35"/>
      <c r="B314" s="35"/>
      <c r="C314" s="35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</row>
    <row r="315">
      <c r="A315" s="35"/>
      <c r="B315" s="35"/>
      <c r="C315" s="35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</row>
    <row r="316">
      <c r="A316" s="35"/>
      <c r="B316" s="35"/>
      <c r="C316" s="35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</row>
    <row r="317">
      <c r="A317" s="35"/>
      <c r="B317" s="35"/>
      <c r="C317" s="35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</row>
    <row r="318">
      <c r="A318" s="35"/>
      <c r="B318" s="35"/>
      <c r="C318" s="35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</row>
    <row r="319">
      <c r="A319" s="35"/>
      <c r="B319" s="35"/>
      <c r="C319" s="35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</row>
    <row r="320">
      <c r="A320" s="35"/>
      <c r="B320" s="35"/>
      <c r="C320" s="35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</row>
    <row r="321">
      <c r="A321" s="35"/>
      <c r="B321" s="35"/>
      <c r="C321" s="35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</row>
    <row r="322">
      <c r="A322" s="35"/>
      <c r="B322" s="35"/>
      <c r="C322" s="35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</row>
    <row r="323">
      <c r="A323" s="35"/>
      <c r="B323" s="35"/>
      <c r="C323" s="35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</row>
    <row r="324">
      <c r="A324" s="35"/>
      <c r="B324" s="35"/>
      <c r="C324" s="35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</row>
    <row r="325">
      <c r="A325" s="35"/>
      <c r="B325" s="35"/>
      <c r="C325" s="35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</row>
    <row r="326">
      <c r="A326" s="35"/>
      <c r="B326" s="35"/>
      <c r="C326" s="35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</row>
    <row r="327">
      <c r="A327" s="35"/>
      <c r="B327" s="35"/>
      <c r="C327" s="35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</row>
    <row r="328">
      <c r="A328" s="35"/>
      <c r="B328" s="35"/>
      <c r="C328" s="35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</row>
    <row r="329">
      <c r="A329" s="35"/>
      <c r="B329" s="35"/>
      <c r="C329" s="35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</row>
    <row r="330">
      <c r="A330" s="35"/>
      <c r="B330" s="35"/>
      <c r="C330" s="35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</row>
    <row r="331">
      <c r="A331" s="35"/>
      <c r="B331" s="35"/>
      <c r="C331" s="35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</row>
    <row r="332">
      <c r="A332" s="35"/>
      <c r="B332" s="35"/>
      <c r="C332" s="35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</row>
    <row r="333">
      <c r="A333" s="35"/>
      <c r="B333" s="35"/>
      <c r="C333" s="35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</row>
    <row r="334">
      <c r="A334" s="35"/>
      <c r="B334" s="35"/>
      <c r="C334" s="35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</row>
    <row r="335">
      <c r="A335" s="35"/>
      <c r="B335" s="35"/>
      <c r="C335" s="35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</row>
    <row r="336">
      <c r="A336" s="35"/>
      <c r="B336" s="35"/>
      <c r="C336" s="35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</row>
    <row r="337">
      <c r="A337" s="35"/>
      <c r="B337" s="35"/>
      <c r="C337" s="35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</row>
    <row r="338">
      <c r="A338" s="35"/>
      <c r="B338" s="35"/>
      <c r="C338" s="35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</row>
    <row r="339">
      <c r="A339" s="35"/>
      <c r="B339" s="35"/>
      <c r="C339" s="35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</row>
    <row r="340">
      <c r="A340" s="35"/>
      <c r="B340" s="35"/>
      <c r="C340" s="35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</row>
    <row r="341">
      <c r="A341" s="35"/>
      <c r="B341" s="35"/>
      <c r="C341" s="35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</row>
    <row r="342">
      <c r="A342" s="35"/>
      <c r="B342" s="35"/>
      <c r="C342" s="35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</row>
    <row r="343">
      <c r="A343" s="35"/>
      <c r="B343" s="35"/>
      <c r="C343" s="35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</row>
    <row r="344">
      <c r="A344" s="35"/>
      <c r="B344" s="35"/>
      <c r="C344" s="35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</row>
    <row r="345">
      <c r="A345" s="35"/>
      <c r="B345" s="35"/>
      <c r="C345" s="35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</row>
    <row r="346">
      <c r="A346" s="35"/>
      <c r="B346" s="35"/>
      <c r="C346" s="35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</row>
    <row r="347">
      <c r="A347" s="35"/>
      <c r="B347" s="35"/>
      <c r="C347" s="35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</row>
    <row r="348">
      <c r="A348" s="35"/>
      <c r="B348" s="35"/>
      <c r="C348" s="35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</row>
    <row r="349">
      <c r="A349" s="35"/>
      <c r="B349" s="35"/>
      <c r="C349" s="35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</row>
    <row r="350">
      <c r="A350" s="35"/>
      <c r="B350" s="35"/>
      <c r="C350" s="35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</row>
    <row r="351">
      <c r="A351" s="35"/>
      <c r="B351" s="35"/>
      <c r="C351" s="35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</row>
    <row r="352">
      <c r="A352" s="35"/>
      <c r="B352" s="35"/>
      <c r="C352" s="35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</row>
    <row r="353">
      <c r="A353" s="35"/>
      <c r="B353" s="35"/>
      <c r="C353" s="35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</row>
    <row r="354">
      <c r="A354" s="35"/>
      <c r="B354" s="35"/>
      <c r="C354" s="35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</row>
    <row r="355">
      <c r="A355" s="35"/>
      <c r="B355" s="35"/>
      <c r="C355" s="35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</row>
    <row r="356">
      <c r="A356" s="35"/>
      <c r="B356" s="35"/>
      <c r="C356" s="35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</row>
    <row r="357">
      <c r="A357" s="35"/>
      <c r="B357" s="35"/>
      <c r="C357" s="35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</row>
    <row r="358">
      <c r="A358" s="35"/>
      <c r="B358" s="35"/>
      <c r="C358" s="35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</row>
    <row r="359">
      <c r="A359" s="35"/>
      <c r="B359" s="35"/>
      <c r="C359" s="35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</row>
    <row r="360">
      <c r="A360" s="35"/>
      <c r="B360" s="35"/>
      <c r="C360" s="35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</row>
    <row r="361">
      <c r="A361" s="35"/>
      <c r="B361" s="35"/>
      <c r="C361" s="35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</row>
    <row r="362">
      <c r="A362" s="35"/>
      <c r="B362" s="35"/>
      <c r="C362" s="35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</row>
    <row r="363">
      <c r="A363" s="35"/>
      <c r="B363" s="35"/>
      <c r="C363" s="35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</row>
    <row r="364">
      <c r="A364" s="35"/>
      <c r="B364" s="35"/>
      <c r="C364" s="35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</row>
    <row r="365">
      <c r="A365" s="35"/>
      <c r="B365" s="35"/>
      <c r="C365" s="35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</row>
    <row r="366">
      <c r="A366" s="35"/>
      <c r="B366" s="35"/>
      <c r="C366" s="35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</row>
    <row r="367">
      <c r="A367" s="35"/>
      <c r="B367" s="35"/>
      <c r="C367" s="35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</row>
    <row r="368">
      <c r="A368" s="35"/>
      <c r="B368" s="35"/>
      <c r="C368" s="35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</row>
    <row r="369">
      <c r="A369" s="35"/>
      <c r="B369" s="35"/>
      <c r="C369" s="35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</row>
    <row r="370">
      <c r="A370" s="35"/>
      <c r="B370" s="35"/>
      <c r="C370" s="35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</row>
    <row r="371">
      <c r="A371" s="35"/>
      <c r="B371" s="35"/>
      <c r="C371" s="35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</row>
    <row r="372">
      <c r="A372" s="35"/>
      <c r="B372" s="35"/>
      <c r="C372" s="35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</row>
    <row r="373">
      <c r="A373" s="35"/>
      <c r="B373" s="35"/>
      <c r="C373" s="35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</row>
    <row r="374">
      <c r="A374" s="35"/>
      <c r="B374" s="35"/>
      <c r="C374" s="35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</row>
    <row r="375">
      <c r="A375" s="35"/>
      <c r="B375" s="35"/>
      <c r="C375" s="35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</row>
    <row r="376">
      <c r="A376" s="35"/>
      <c r="B376" s="35"/>
      <c r="C376" s="35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</row>
    <row r="377">
      <c r="A377" s="35"/>
      <c r="B377" s="35"/>
      <c r="C377" s="35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</row>
    <row r="378">
      <c r="A378" s="35"/>
      <c r="B378" s="35"/>
      <c r="C378" s="35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</row>
    <row r="379">
      <c r="A379" s="35"/>
      <c r="B379" s="35"/>
      <c r="C379" s="35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</row>
    <row r="380">
      <c r="A380" s="35"/>
      <c r="B380" s="35"/>
      <c r="C380" s="35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</row>
    <row r="381">
      <c r="A381" s="35"/>
      <c r="B381" s="35"/>
      <c r="C381" s="35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</row>
    <row r="382">
      <c r="A382" s="35"/>
      <c r="B382" s="35"/>
      <c r="C382" s="35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</row>
    <row r="383">
      <c r="A383" s="35"/>
      <c r="B383" s="35"/>
      <c r="C383" s="35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</row>
    <row r="384">
      <c r="A384" s="35"/>
      <c r="B384" s="35"/>
      <c r="C384" s="35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</row>
    <row r="385">
      <c r="A385" s="35"/>
      <c r="B385" s="35"/>
      <c r="C385" s="35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</row>
    <row r="386">
      <c r="A386" s="35"/>
      <c r="B386" s="35"/>
      <c r="C386" s="35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</row>
    <row r="387">
      <c r="A387" s="35"/>
      <c r="B387" s="35"/>
      <c r="C387" s="35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</row>
    <row r="388">
      <c r="A388" s="35"/>
      <c r="B388" s="35"/>
      <c r="C388" s="35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</row>
    <row r="389">
      <c r="A389" s="35"/>
      <c r="B389" s="35"/>
      <c r="C389" s="35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</row>
    <row r="390">
      <c r="A390" s="35"/>
      <c r="B390" s="35"/>
      <c r="C390" s="35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</row>
    <row r="391">
      <c r="A391" s="35"/>
      <c r="B391" s="35"/>
      <c r="C391" s="35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</row>
    <row r="392">
      <c r="A392" s="35"/>
      <c r="B392" s="35"/>
      <c r="C392" s="35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</row>
    <row r="393">
      <c r="A393" s="35"/>
      <c r="B393" s="35"/>
      <c r="C393" s="35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</row>
    <row r="394">
      <c r="A394" s="35"/>
      <c r="B394" s="35"/>
      <c r="C394" s="35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</row>
    <row r="395">
      <c r="A395" s="35"/>
      <c r="B395" s="35"/>
      <c r="C395" s="35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</row>
    <row r="396">
      <c r="A396" s="35"/>
      <c r="B396" s="35"/>
      <c r="C396" s="35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</row>
    <row r="397">
      <c r="A397" s="35"/>
      <c r="B397" s="35"/>
      <c r="C397" s="35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</row>
    <row r="398">
      <c r="A398" s="35"/>
      <c r="B398" s="35"/>
      <c r="C398" s="35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</row>
    <row r="399">
      <c r="A399" s="35"/>
      <c r="B399" s="35"/>
      <c r="C399" s="35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</row>
    <row r="400">
      <c r="A400" s="35"/>
      <c r="B400" s="35"/>
      <c r="C400" s="35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</row>
    <row r="401">
      <c r="A401" s="35"/>
      <c r="B401" s="35"/>
      <c r="C401" s="35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</row>
    <row r="402">
      <c r="A402" s="35"/>
      <c r="B402" s="35"/>
      <c r="C402" s="35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</row>
    <row r="403">
      <c r="A403" s="35"/>
      <c r="B403" s="35"/>
      <c r="C403" s="35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</row>
    <row r="404">
      <c r="A404" s="35"/>
      <c r="B404" s="35"/>
      <c r="C404" s="35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</row>
    <row r="405">
      <c r="A405" s="35"/>
      <c r="B405" s="35"/>
      <c r="C405" s="35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</row>
    <row r="406">
      <c r="A406" s="35"/>
      <c r="B406" s="35"/>
      <c r="C406" s="35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</row>
    <row r="407">
      <c r="A407" s="35"/>
      <c r="B407" s="35"/>
      <c r="C407" s="35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</row>
    <row r="408">
      <c r="A408" s="35"/>
      <c r="B408" s="35"/>
      <c r="C408" s="35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</row>
    <row r="409">
      <c r="A409" s="35"/>
      <c r="B409" s="35"/>
      <c r="C409" s="35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</row>
    <row r="410">
      <c r="A410" s="35"/>
      <c r="B410" s="35"/>
      <c r="C410" s="35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</row>
    <row r="411">
      <c r="A411" s="35"/>
      <c r="B411" s="35"/>
      <c r="C411" s="35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</row>
    <row r="412">
      <c r="A412" s="35"/>
      <c r="B412" s="35"/>
      <c r="C412" s="35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</row>
    <row r="413">
      <c r="A413" s="35"/>
      <c r="B413" s="35"/>
      <c r="C413" s="35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</row>
    <row r="414">
      <c r="A414" s="35"/>
      <c r="B414" s="35"/>
      <c r="C414" s="35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</row>
    <row r="415">
      <c r="A415" s="35"/>
      <c r="B415" s="35"/>
      <c r="C415" s="35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</row>
    <row r="416">
      <c r="A416" s="35"/>
      <c r="B416" s="35"/>
      <c r="C416" s="35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</row>
    <row r="417">
      <c r="A417" s="35"/>
      <c r="B417" s="35"/>
      <c r="C417" s="35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</row>
    <row r="418">
      <c r="A418" s="35"/>
      <c r="B418" s="35"/>
      <c r="C418" s="35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</row>
    <row r="419">
      <c r="A419" s="35"/>
      <c r="B419" s="35"/>
      <c r="C419" s="35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</row>
    <row r="420">
      <c r="A420" s="35"/>
      <c r="B420" s="35"/>
      <c r="C420" s="35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</row>
    <row r="421">
      <c r="A421" s="35"/>
      <c r="B421" s="35"/>
      <c r="C421" s="35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</row>
    <row r="422">
      <c r="A422" s="35"/>
      <c r="B422" s="35"/>
      <c r="C422" s="35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</row>
    <row r="423">
      <c r="A423" s="35"/>
      <c r="B423" s="35"/>
      <c r="C423" s="35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</row>
    <row r="424">
      <c r="A424" s="35"/>
      <c r="B424" s="35"/>
      <c r="C424" s="35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</row>
    <row r="425">
      <c r="A425" s="35"/>
      <c r="B425" s="35"/>
      <c r="C425" s="35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</row>
    <row r="426">
      <c r="A426" s="35"/>
      <c r="B426" s="35"/>
      <c r="C426" s="35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</row>
    <row r="427">
      <c r="A427" s="35"/>
      <c r="B427" s="35"/>
      <c r="C427" s="35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</row>
    <row r="428">
      <c r="A428" s="35"/>
      <c r="B428" s="35"/>
      <c r="C428" s="35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</row>
    <row r="429">
      <c r="A429" s="35"/>
      <c r="B429" s="35"/>
      <c r="C429" s="35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</row>
    <row r="430">
      <c r="A430" s="35"/>
      <c r="B430" s="35"/>
      <c r="C430" s="35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</row>
    <row r="431">
      <c r="A431" s="35"/>
      <c r="B431" s="35"/>
      <c r="C431" s="35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</row>
    <row r="432">
      <c r="A432" s="35"/>
      <c r="B432" s="35"/>
      <c r="C432" s="35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</row>
    <row r="433">
      <c r="A433" s="35"/>
      <c r="B433" s="35"/>
      <c r="C433" s="35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</row>
    <row r="434">
      <c r="A434" s="35"/>
      <c r="B434" s="35"/>
      <c r="C434" s="35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</row>
    <row r="435">
      <c r="A435" s="35"/>
      <c r="B435" s="35"/>
      <c r="C435" s="35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</row>
    <row r="436">
      <c r="A436" s="35"/>
      <c r="B436" s="35"/>
      <c r="C436" s="35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</row>
    <row r="437">
      <c r="A437" s="35"/>
      <c r="B437" s="35"/>
      <c r="C437" s="35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</row>
    <row r="438">
      <c r="A438" s="35"/>
      <c r="B438" s="35"/>
      <c r="C438" s="35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</row>
    <row r="439">
      <c r="A439" s="35"/>
      <c r="B439" s="35"/>
      <c r="C439" s="35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</row>
    <row r="440">
      <c r="A440" s="35"/>
      <c r="B440" s="35"/>
      <c r="C440" s="35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</row>
    <row r="441">
      <c r="A441" s="35"/>
      <c r="B441" s="35"/>
      <c r="C441" s="35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</row>
    <row r="442">
      <c r="A442" s="35"/>
      <c r="B442" s="35"/>
      <c r="C442" s="35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</row>
    <row r="443">
      <c r="A443" s="35"/>
      <c r="B443" s="35"/>
      <c r="C443" s="35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</row>
    <row r="444">
      <c r="A444" s="35"/>
      <c r="B444" s="35"/>
      <c r="C444" s="35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</row>
    <row r="445">
      <c r="A445" s="35"/>
      <c r="B445" s="35"/>
      <c r="C445" s="35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</row>
    <row r="446">
      <c r="A446" s="35"/>
      <c r="B446" s="35"/>
      <c r="C446" s="35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</row>
    <row r="447">
      <c r="A447" s="35"/>
      <c r="B447" s="35"/>
      <c r="C447" s="35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</row>
    <row r="448">
      <c r="A448" s="35"/>
      <c r="B448" s="35"/>
      <c r="C448" s="35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</row>
    <row r="449">
      <c r="A449" s="35"/>
      <c r="B449" s="35"/>
      <c r="C449" s="35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</row>
    <row r="450">
      <c r="A450" s="35"/>
      <c r="B450" s="35"/>
      <c r="C450" s="35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</row>
    <row r="451">
      <c r="A451" s="35"/>
      <c r="B451" s="35"/>
      <c r="C451" s="35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</row>
    <row r="452">
      <c r="A452" s="35"/>
      <c r="B452" s="35"/>
      <c r="C452" s="35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</row>
    <row r="453">
      <c r="A453" s="35"/>
      <c r="B453" s="35"/>
      <c r="C453" s="35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</row>
    <row r="454">
      <c r="A454" s="35"/>
      <c r="B454" s="35"/>
      <c r="C454" s="35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</row>
    <row r="455">
      <c r="A455" s="35"/>
      <c r="B455" s="35"/>
      <c r="C455" s="35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</row>
    <row r="456">
      <c r="A456" s="35"/>
      <c r="B456" s="35"/>
      <c r="C456" s="35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</row>
    <row r="457">
      <c r="A457" s="35"/>
      <c r="B457" s="35"/>
      <c r="C457" s="35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</row>
    <row r="458">
      <c r="A458" s="35"/>
      <c r="B458" s="35"/>
      <c r="C458" s="35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</row>
    <row r="459">
      <c r="A459" s="35"/>
      <c r="B459" s="35"/>
      <c r="C459" s="35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</row>
    <row r="460">
      <c r="A460" s="35"/>
      <c r="B460" s="35"/>
      <c r="C460" s="35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</row>
    <row r="461">
      <c r="A461" s="35"/>
      <c r="B461" s="35"/>
      <c r="C461" s="35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</row>
    <row r="462">
      <c r="A462" s="35"/>
      <c r="B462" s="35"/>
      <c r="C462" s="35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</row>
    <row r="463">
      <c r="A463" s="35"/>
      <c r="B463" s="35"/>
      <c r="C463" s="35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</row>
    <row r="464">
      <c r="A464" s="35"/>
      <c r="B464" s="35"/>
      <c r="C464" s="35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</row>
    <row r="465">
      <c r="A465" s="35"/>
      <c r="B465" s="35"/>
      <c r="C465" s="35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</row>
    <row r="466">
      <c r="A466" s="35"/>
      <c r="B466" s="35"/>
      <c r="C466" s="35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</row>
    <row r="467">
      <c r="A467" s="35"/>
      <c r="B467" s="35"/>
      <c r="C467" s="35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</row>
    <row r="468">
      <c r="A468" s="35"/>
      <c r="B468" s="35"/>
      <c r="C468" s="35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</row>
    <row r="469">
      <c r="A469" s="35"/>
      <c r="B469" s="35"/>
      <c r="C469" s="35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</row>
    <row r="470">
      <c r="A470" s="35"/>
      <c r="B470" s="35"/>
      <c r="C470" s="35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</row>
    <row r="471">
      <c r="A471" s="35"/>
      <c r="B471" s="35"/>
      <c r="C471" s="35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</row>
    <row r="472">
      <c r="A472" s="35"/>
      <c r="B472" s="35"/>
      <c r="C472" s="35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</row>
    <row r="473">
      <c r="A473" s="35"/>
      <c r="B473" s="35"/>
      <c r="C473" s="35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</row>
    <row r="474">
      <c r="A474" s="35"/>
      <c r="B474" s="35"/>
      <c r="C474" s="35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</row>
    <row r="475">
      <c r="A475" s="35"/>
      <c r="B475" s="35"/>
      <c r="C475" s="35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</row>
    <row r="476">
      <c r="A476" s="35"/>
      <c r="B476" s="35"/>
      <c r="C476" s="35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</row>
    <row r="477">
      <c r="A477" s="35"/>
      <c r="B477" s="35"/>
      <c r="C477" s="35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</row>
    <row r="478">
      <c r="A478" s="35"/>
      <c r="B478" s="35"/>
      <c r="C478" s="35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</row>
    <row r="479">
      <c r="A479" s="35"/>
      <c r="B479" s="35"/>
      <c r="C479" s="35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</row>
    <row r="480">
      <c r="A480" s="35"/>
      <c r="B480" s="35"/>
      <c r="C480" s="35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</row>
    <row r="481">
      <c r="A481" s="35"/>
      <c r="B481" s="35"/>
      <c r="C481" s="35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</row>
    <row r="482">
      <c r="A482" s="35"/>
      <c r="B482" s="35"/>
      <c r="C482" s="35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</row>
    <row r="483">
      <c r="A483" s="35"/>
      <c r="B483" s="35"/>
      <c r="C483" s="35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</row>
    <row r="484">
      <c r="A484" s="35"/>
      <c r="B484" s="35"/>
      <c r="C484" s="35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</row>
    <row r="485">
      <c r="A485" s="35"/>
      <c r="B485" s="35"/>
      <c r="C485" s="35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</row>
    <row r="486">
      <c r="A486" s="35"/>
      <c r="B486" s="35"/>
      <c r="C486" s="35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</row>
    <row r="487">
      <c r="A487" s="35"/>
      <c r="B487" s="35"/>
      <c r="C487" s="35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</row>
    <row r="488">
      <c r="A488" s="35"/>
      <c r="B488" s="35"/>
      <c r="C488" s="35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</row>
    <row r="489">
      <c r="A489" s="35"/>
      <c r="B489" s="35"/>
      <c r="C489" s="35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</row>
    <row r="490">
      <c r="A490" s="35"/>
      <c r="B490" s="35"/>
      <c r="C490" s="35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</row>
    <row r="491">
      <c r="A491" s="35"/>
      <c r="B491" s="35"/>
      <c r="C491" s="35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</row>
    <row r="492">
      <c r="A492" s="35"/>
      <c r="B492" s="35"/>
      <c r="C492" s="35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</row>
    <row r="493">
      <c r="A493" s="35"/>
      <c r="B493" s="35"/>
      <c r="C493" s="35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</row>
    <row r="494">
      <c r="A494" s="35"/>
      <c r="B494" s="35"/>
      <c r="C494" s="35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</row>
    <row r="495">
      <c r="A495" s="35"/>
      <c r="B495" s="35"/>
      <c r="C495" s="35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</row>
    <row r="496">
      <c r="A496" s="35"/>
      <c r="B496" s="35"/>
      <c r="C496" s="35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</row>
    <row r="497">
      <c r="A497" s="35"/>
      <c r="B497" s="35"/>
      <c r="C497" s="35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</row>
    <row r="498">
      <c r="A498" s="35"/>
      <c r="B498" s="35"/>
      <c r="C498" s="35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</row>
    <row r="499">
      <c r="A499" s="35"/>
      <c r="B499" s="35"/>
      <c r="C499" s="35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</row>
    <row r="500">
      <c r="A500" s="35"/>
      <c r="B500" s="35"/>
      <c r="C500" s="35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</row>
    <row r="501">
      <c r="A501" s="35"/>
      <c r="B501" s="35"/>
      <c r="C501" s="35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</row>
    <row r="502">
      <c r="A502" s="35"/>
      <c r="B502" s="35"/>
      <c r="C502" s="35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</row>
    <row r="503">
      <c r="A503" s="35"/>
      <c r="B503" s="35"/>
      <c r="C503" s="35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</row>
    <row r="504">
      <c r="A504" s="35"/>
      <c r="B504" s="35"/>
      <c r="C504" s="35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</row>
    <row r="505">
      <c r="A505" s="35"/>
      <c r="B505" s="35"/>
      <c r="C505" s="35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</row>
    <row r="506">
      <c r="A506" s="35"/>
      <c r="B506" s="35"/>
      <c r="C506" s="35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</row>
    <row r="507">
      <c r="A507" s="35"/>
      <c r="B507" s="35"/>
      <c r="C507" s="35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</row>
    <row r="508">
      <c r="A508" s="35"/>
      <c r="B508" s="35"/>
      <c r="C508" s="35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</row>
    <row r="509">
      <c r="A509" s="35"/>
      <c r="B509" s="35"/>
      <c r="C509" s="35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</row>
    <row r="510">
      <c r="A510" s="35"/>
      <c r="B510" s="35"/>
      <c r="C510" s="35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</row>
    <row r="511">
      <c r="A511" s="35"/>
      <c r="B511" s="35"/>
      <c r="C511" s="35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</row>
    <row r="512">
      <c r="A512" s="35"/>
      <c r="B512" s="35"/>
      <c r="C512" s="35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</row>
    <row r="513">
      <c r="A513" s="35"/>
      <c r="B513" s="35"/>
      <c r="C513" s="35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</row>
    <row r="514">
      <c r="A514" s="35"/>
      <c r="B514" s="35"/>
      <c r="C514" s="35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</row>
    <row r="515">
      <c r="A515" s="35"/>
      <c r="B515" s="35"/>
      <c r="C515" s="35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</row>
    <row r="516">
      <c r="A516" s="35"/>
      <c r="B516" s="35"/>
      <c r="C516" s="35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</row>
    <row r="517">
      <c r="A517" s="35"/>
      <c r="B517" s="35"/>
      <c r="C517" s="35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</row>
    <row r="518">
      <c r="A518" s="35"/>
      <c r="B518" s="35"/>
      <c r="C518" s="35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</row>
    <row r="519">
      <c r="A519" s="35"/>
      <c r="B519" s="35"/>
      <c r="C519" s="35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</row>
    <row r="520">
      <c r="A520" s="35"/>
      <c r="B520" s="35"/>
      <c r="C520" s="35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</row>
    <row r="521">
      <c r="A521" s="35"/>
      <c r="B521" s="35"/>
      <c r="C521" s="35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</row>
    <row r="522">
      <c r="A522" s="35"/>
      <c r="B522" s="35"/>
      <c r="C522" s="35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</row>
    <row r="523">
      <c r="A523" s="35"/>
      <c r="B523" s="35"/>
      <c r="C523" s="35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</row>
    <row r="524">
      <c r="A524" s="35"/>
      <c r="B524" s="35"/>
      <c r="C524" s="35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</row>
    <row r="525">
      <c r="A525" s="35"/>
      <c r="B525" s="35"/>
      <c r="C525" s="35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</row>
    <row r="526">
      <c r="A526" s="35"/>
      <c r="B526" s="35"/>
      <c r="C526" s="35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</row>
    <row r="527">
      <c r="A527" s="35"/>
      <c r="B527" s="35"/>
      <c r="C527" s="35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</row>
    <row r="528">
      <c r="A528" s="35"/>
      <c r="B528" s="35"/>
      <c r="C528" s="35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</row>
    <row r="529">
      <c r="A529" s="35"/>
      <c r="B529" s="35"/>
      <c r="C529" s="35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</row>
    <row r="530">
      <c r="A530" s="35"/>
      <c r="B530" s="35"/>
      <c r="C530" s="35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</row>
    <row r="531">
      <c r="A531" s="35"/>
      <c r="B531" s="35"/>
      <c r="C531" s="35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</row>
    <row r="532">
      <c r="A532" s="35"/>
      <c r="B532" s="35"/>
      <c r="C532" s="35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</row>
    <row r="533">
      <c r="A533" s="35"/>
      <c r="B533" s="35"/>
      <c r="C533" s="35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</row>
    <row r="534">
      <c r="A534" s="35"/>
      <c r="B534" s="35"/>
      <c r="C534" s="35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</row>
    <row r="535">
      <c r="A535" s="35"/>
      <c r="B535" s="35"/>
      <c r="C535" s="35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</row>
    <row r="536">
      <c r="A536" s="35"/>
      <c r="B536" s="35"/>
      <c r="C536" s="35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</row>
    <row r="537">
      <c r="A537" s="35"/>
      <c r="B537" s="35"/>
      <c r="C537" s="35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</row>
    <row r="538">
      <c r="A538" s="35"/>
      <c r="B538" s="35"/>
      <c r="C538" s="35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</row>
    <row r="539">
      <c r="A539" s="35"/>
      <c r="B539" s="35"/>
      <c r="C539" s="35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</row>
    <row r="540">
      <c r="A540" s="35"/>
      <c r="B540" s="35"/>
      <c r="C540" s="35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</row>
    <row r="541">
      <c r="A541" s="35"/>
      <c r="B541" s="35"/>
      <c r="C541" s="35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</row>
    <row r="542">
      <c r="A542" s="35"/>
      <c r="B542" s="35"/>
      <c r="C542" s="35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</row>
    <row r="543">
      <c r="A543" s="35"/>
      <c r="B543" s="35"/>
      <c r="C543" s="35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</row>
    <row r="544">
      <c r="A544" s="35"/>
      <c r="B544" s="35"/>
      <c r="C544" s="35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</row>
    <row r="545">
      <c r="A545" s="35"/>
      <c r="B545" s="35"/>
      <c r="C545" s="35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</row>
    <row r="546">
      <c r="A546" s="35"/>
      <c r="B546" s="35"/>
      <c r="C546" s="35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</row>
    <row r="547">
      <c r="A547" s="35"/>
      <c r="B547" s="35"/>
      <c r="C547" s="35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</row>
    <row r="548">
      <c r="A548" s="35"/>
      <c r="B548" s="35"/>
      <c r="C548" s="35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</row>
    <row r="549">
      <c r="A549" s="35"/>
      <c r="B549" s="35"/>
      <c r="C549" s="35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</row>
    <row r="550">
      <c r="A550" s="35"/>
      <c r="B550" s="35"/>
      <c r="C550" s="35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</row>
    <row r="551">
      <c r="A551" s="35"/>
      <c r="B551" s="35"/>
      <c r="C551" s="35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</row>
    <row r="552">
      <c r="A552" s="35"/>
      <c r="B552" s="35"/>
      <c r="C552" s="35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</row>
    <row r="553">
      <c r="A553" s="35"/>
      <c r="B553" s="35"/>
      <c r="C553" s="35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</row>
    <row r="554">
      <c r="A554" s="35"/>
      <c r="B554" s="35"/>
      <c r="C554" s="35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</row>
    <row r="555">
      <c r="A555" s="35"/>
      <c r="B555" s="35"/>
      <c r="C555" s="35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</row>
    <row r="556">
      <c r="A556" s="35"/>
      <c r="B556" s="35"/>
      <c r="C556" s="35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</row>
    <row r="557">
      <c r="A557" s="35"/>
      <c r="B557" s="35"/>
      <c r="C557" s="35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</row>
    <row r="558">
      <c r="A558" s="35"/>
      <c r="B558" s="35"/>
      <c r="C558" s="35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</row>
    <row r="559">
      <c r="A559" s="35"/>
      <c r="B559" s="35"/>
      <c r="C559" s="35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</row>
    <row r="560">
      <c r="A560" s="35"/>
      <c r="B560" s="35"/>
      <c r="C560" s="35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</row>
    <row r="561">
      <c r="A561" s="35"/>
      <c r="B561" s="35"/>
      <c r="C561" s="35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</row>
    <row r="562">
      <c r="A562" s="35"/>
      <c r="B562" s="35"/>
      <c r="C562" s="35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</row>
    <row r="563">
      <c r="A563" s="35"/>
      <c r="B563" s="35"/>
      <c r="C563" s="35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</row>
    <row r="564">
      <c r="A564" s="35"/>
      <c r="B564" s="35"/>
      <c r="C564" s="35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</row>
    <row r="565">
      <c r="A565" s="35"/>
      <c r="B565" s="35"/>
      <c r="C565" s="35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</row>
    <row r="566">
      <c r="A566" s="35"/>
      <c r="B566" s="35"/>
      <c r="C566" s="35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</row>
    <row r="567">
      <c r="A567" s="35"/>
      <c r="B567" s="35"/>
      <c r="C567" s="35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</row>
    <row r="568">
      <c r="A568" s="35"/>
      <c r="B568" s="35"/>
      <c r="C568" s="35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</row>
    <row r="569">
      <c r="A569" s="35"/>
      <c r="B569" s="35"/>
      <c r="C569" s="35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</row>
    <row r="570">
      <c r="A570" s="35"/>
      <c r="B570" s="35"/>
      <c r="C570" s="35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</row>
    <row r="571">
      <c r="A571" s="35"/>
      <c r="B571" s="35"/>
      <c r="C571" s="35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</row>
    <row r="572">
      <c r="A572" s="35"/>
      <c r="B572" s="35"/>
      <c r="C572" s="35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</row>
    <row r="573">
      <c r="A573" s="35"/>
      <c r="B573" s="35"/>
      <c r="C573" s="35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</row>
    <row r="574">
      <c r="A574" s="35"/>
      <c r="B574" s="35"/>
      <c r="C574" s="35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</row>
    <row r="575">
      <c r="A575" s="35"/>
      <c r="B575" s="35"/>
      <c r="C575" s="35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</row>
    <row r="576">
      <c r="A576" s="35"/>
      <c r="B576" s="35"/>
      <c r="C576" s="35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</row>
    <row r="577">
      <c r="A577" s="35"/>
      <c r="B577" s="35"/>
      <c r="C577" s="35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</row>
    <row r="578">
      <c r="A578" s="35"/>
      <c r="B578" s="35"/>
      <c r="C578" s="35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</row>
    <row r="579">
      <c r="A579" s="35"/>
      <c r="B579" s="35"/>
      <c r="C579" s="35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</row>
    <row r="580">
      <c r="A580" s="35"/>
      <c r="B580" s="35"/>
      <c r="C580" s="35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</row>
    <row r="581">
      <c r="A581" s="35"/>
      <c r="B581" s="35"/>
      <c r="C581" s="35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</row>
    <row r="582">
      <c r="A582" s="35"/>
      <c r="B582" s="35"/>
      <c r="C582" s="35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</row>
    <row r="583">
      <c r="A583" s="35"/>
      <c r="B583" s="35"/>
      <c r="C583" s="35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</row>
    <row r="584">
      <c r="A584" s="35"/>
      <c r="B584" s="35"/>
      <c r="C584" s="35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</row>
    <row r="585">
      <c r="A585" s="35"/>
      <c r="B585" s="35"/>
      <c r="C585" s="35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</row>
    <row r="586">
      <c r="A586" s="35"/>
      <c r="B586" s="35"/>
      <c r="C586" s="35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</row>
    <row r="587">
      <c r="A587" s="35"/>
      <c r="B587" s="35"/>
      <c r="C587" s="35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</row>
    <row r="588">
      <c r="A588" s="35"/>
      <c r="B588" s="35"/>
      <c r="C588" s="35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</row>
    <row r="589">
      <c r="A589" s="35"/>
      <c r="B589" s="35"/>
      <c r="C589" s="35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</row>
    <row r="590">
      <c r="A590" s="35"/>
      <c r="B590" s="35"/>
      <c r="C590" s="35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</row>
    <row r="591">
      <c r="A591" s="35"/>
      <c r="B591" s="35"/>
      <c r="C591" s="35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</row>
    <row r="592">
      <c r="A592" s="35"/>
      <c r="B592" s="35"/>
      <c r="C592" s="35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</row>
    <row r="593">
      <c r="A593" s="35"/>
      <c r="B593" s="35"/>
      <c r="C593" s="35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</row>
    <row r="594">
      <c r="A594" s="35"/>
      <c r="B594" s="35"/>
      <c r="C594" s="35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</row>
    <row r="595">
      <c r="A595" s="35"/>
      <c r="B595" s="35"/>
      <c r="C595" s="35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</row>
    <row r="596">
      <c r="A596" s="35"/>
      <c r="B596" s="35"/>
      <c r="C596" s="35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</row>
    <row r="597">
      <c r="A597" s="35"/>
      <c r="B597" s="35"/>
      <c r="C597" s="35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</row>
    <row r="598">
      <c r="A598" s="35"/>
      <c r="B598" s="35"/>
      <c r="C598" s="35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</row>
    <row r="599">
      <c r="A599" s="35"/>
      <c r="B599" s="35"/>
      <c r="C599" s="35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</row>
    <row r="600">
      <c r="A600" s="35"/>
      <c r="B600" s="35"/>
      <c r="C600" s="35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</row>
    <row r="601">
      <c r="A601" s="35"/>
      <c r="B601" s="35"/>
      <c r="C601" s="35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</row>
    <row r="602">
      <c r="A602" s="35"/>
      <c r="B602" s="35"/>
      <c r="C602" s="35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</row>
    <row r="603">
      <c r="A603" s="35"/>
      <c r="B603" s="35"/>
      <c r="C603" s="35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</row>
    <row r="604">
      <c r="A604" s="35"/>
      <c r="B604" s="35"/>
      <c r="C604" s="35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</row>
    <row r="605">
      <c r="A605" s="35"/>
      <c r="B605" s="35"/>
      <c r="C605" s="35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</row>
    <row r="606">
      <c r="A606" s="35"/>
      <c r="B606" s="35"/>
      <c r="C606" s="35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</row>
    <row r="607">
      <c r="A607" s="35"/>
      <c r="B607" s="35"/>
      <c r="C607" s="35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</row>
    <row r="608">
      <c r="A608" s="35"/>
      <c r="B608" s="35"/>
      <c r="C608" s="35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</row>
    <row r="609">
      <c r="A609" s="35"/>
      <c r="B609" s="35"/>
      <c r="C609" s="35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</row>
    <row r="610">
      <c r="A610" s="35"/>
      <c r="B610" s="35"/>
      <c r="C610" s="35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</row>
    <row r="611">
      <c r="A611" s="35"/>
      <c r="B611" s="35"/>
      <c r="C611" s="35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</row>
    <row r="612">
      <c r="A612" s="35"/>
      <c r="B612" s="35"/>
      <c r="C612" s="35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</row>
    <row r="613">
      <c r="A613" s="35"/>
      <c r="B613" s="35"/>
      <c r="C613" s="35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</row>
    <row r="614">
      <c r="A614" s="35"/>
      <c r="B614" s="35"/>
      <c r="C614" s="35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</row>
    <row r="615">
      <c r="A615" s="35"/>
      <c r="B615" s="35"/>
      <c r="C615" s="35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</row>
    <row r="616">
      <c r="A616" s="35"/>
      <c r="B616" s="35"/>
      <c r="C616" s="35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</row>
    <row r="617">
      <c r="A617" s="35"/>
      <c r="B617" s="35"/>
      <c r="C617" s="35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</row>
    <row r="618">
      <c r="A618" s="35"/>
      <c r="B618" s="35"/>
      <c r="C618" s="35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</row>
    <row r="619">
      <c r="A619" s="35"/>
      <c r="B619" s="35"/>
      <c r="C619" s="35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</row>
    <row r="620">
      <c r="A620" s="35"/>
      <c r="B620" s="35"/>
      <c r="C620" s="35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</row>
    <row r="621">
      <c r="A621" s="35"/>
      <c r="B621" s="35"/>
      <c r="C621" s="35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</row>
    <row r="622">
      <c r="A622" s="35"/>
      <c r="B622" s="35"/>
      <c r="C622" s="35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</row>
    <row r="623">
      <c r="A623" s="35"/>
      <c r="B623" s="35"/>
      <c r="C623" s="35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</row>
    <row r="624">
      <c r="A624" s="35"/>
      <c r="B624" s="35"/>
      <c r="C624" s="35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</row>
    <row r="625">
      <c r="A625" s="35"/>
      <c r="B625" s="35"/>
      <c r="C625" s="35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</row>
    <row r="626">
      <c r="A626" s="35"/>
      <c r="B626" s="35"/>
      <c r="C626" s="35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</row>
    <row r="627">
      <c r="A627" s="35"/>
      <c r="B627" s="35"/>
      <c r="C627" s="35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</row>
    <row r="628">
      <c r="A628" s="35"/>
      <c r="B628" s="35"/>
      <c r="C628" s="35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</row>
    <row r="629">
      <c r="A629" s="35"/>
      <c r="B629" s="35"/>
      <c r="C629" s="35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</row>
    <row r="630">
      <c r="A630" s="35"/>
      <c r="B630" s="35"/>
      <c r="C630" s="35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</row>
    <row r="631">
      <c r="A631" s="35"/>
      <c r="B631" s="35"/>
      <c r="C631" s="35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</row>
    <row r="632">
      <c r="A632" s="35"/>
      <c r="B632" s="35"/>
      <c r="C632" s="35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</row>
    <row r="633">
      <c r="A633" s="35"/>
      <c r="B633" s="35"/>
      <c r="C633" s="35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</row>
    <row r="634">
      <c r="A634" s="35"/>
      <c r="B634" s="35"/>
      <c r="C634" s="35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</row>
    <row r="635">
      <c r="A635" s="35"/>
      <c r="B635" s="35"/>
      <c r="C635" s="35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</row>
    <row r="636">
      <c r="A636" s="35"/>
      <c r="B636" s="35"/>
      <c r="C636" s="35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</row>
    <row r="637">
      <c r="A637" s="35"/>
      <c r="B637" s="35"/>
      <c r="C637" s="35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</row>
    <row r="638">
      <c r="A638" s="35"/>
      <c r="B638" s="35"/>
      <c r="C638" s="35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</row>
    <row r="639">
      <c r="A639" s="35"/>
      <c r="B639" s="35"/>
      <c r="C639" s="35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</row>
    <row r="640">
      <c r="A640" s="35"/>
      <c r="B640" s="35"/>
      <c r="C640" s="35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</row>
    <row r="641">
      <c r="A641" s="35"/>
      <c r="B641" s="35"/>
      <c r="C641" s="35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</row>
    <row r="642">
      <c r="A642" s="35"/>
      <c r="B642" s="35"/>
      <c r="C642" s="35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</row>
    <row r="643">
      <c r="A643" s="35"/>
      <c r="B643" s="35"/>
      <c r="C643" s="35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</row>
    <row r="644">
      <c r="A644" s="35"/>
      <c r="B644" s="35"/>
      <c r="C644" s="35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</row>
    <row r="645">
      <c r="A645" s="35"/>
      <c r="B645" s="35"/>
      <c r="C645" s="35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</row>
    <row r="646">
      <c r="A646" s="35"/>
      <c r="B646" s="35"/>
      <c r="C646" s="35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</row>
    <row r="647">
      <c r="A647" s="35"/>
      <c r="B647" s="35"/>
      <c r="C647" s="35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</row>
    <row r="648">
      <c r="A648" s="35"/>
      <c r="B648" s="35"/>
      <c r="C648" s="35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</row>
    <row r="649">
      <c r="A649" s="35"/>
      <c r="B649" s="35"/>
      <c r="C649" s="35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</row>
    <row r="650">
      <c r="A650" s="35"/>
      <c r="B650" s="35"/>
      <c r="C650" s="35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</row>
    <row r="651">
      <c r="A651" s="35"/>
      <c r="B651" s="35"/>
      <c r="C651" s="35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</row>
    <row r="652">
      <c r="A652" s="35"/>
      <c r="B652" s="35"/>
      <c r="C652" s="35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</row>
    <row r="653">
      <c r="A653" s="35"/>
      <c r="B653" s="35"/>
      <c r="C653" s="35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</row>
    <row r="654">
      <c r="A654" s="35"/>
      <c r="B654" s="35"/>
      <c r="C654" s="35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</row>
    <row r="655">
      <c r="A655" s="35"/>
      <c r="B655" s="35"/>
      <c r="C655" s="35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</row>
    <row r="656">
      <c r="A656" s="35"/>
      <c r="B656" s="35"/>
      <c r="C656" s="35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</row>
    <row r="657">
      <c r="A657" s="35"/>
      <c r="B657" s="35"/>
      <c r="C657" s="35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</row>
    <row r="658">
      <c r="A658" s="35"/>
      <c r="B658" s="35"/>
      <c r="C658" s="35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</row>
    <row r="659">
      <c r="A659" s="35"/>
      <c r="B659" s="35"/>
      <c r="C659" s="35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</row>
    <row r="660">
      <c r="A660" s="35"/>
      <c r="B660" s="35"/>
      <c r="C660" s="35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</row>
    <row r="661">
      <c r="A661" s="35"/>
      <c r="B661" s="35"/>
      <c r="C661" s="35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</row>
    <row r="662">
      <c r="A662" s="35"/>
      <c r="B662" s="35"/>
      <c r="C662" s="35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</row>
    <row r="663">
      <c r="A663" s="35"/>
      <c r="B663" s="35"/>
      <c r="C663" s="35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</row>
    <row r="664">
      <c r="A664" s="35"/>
      <c r="B664" s="35"/>
      <c r="C664" s="35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</row>
    <row r="665">
      <c r="A665" s="35"/>
      <c r="B665" s="35"/>
      <c r="C665" s="35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</row>
    <row r="666">
      <c r="A666" s="35"/>
      <c r="B666" s="35"/>
      <c r="C666" s="35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</row>
    <row r="667">
      <c r="A667" s="35"/>
      <c r="B667" s="35"/>
      <c r="C667" s="35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</row>
    <row r="668">
      <c r="A668" s="35"/>
      <c r="B668" s="35"/>
      <c r="C668" s="35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</row>
    <row r="669">
      <c r="A669" s="35"/>
      <c r="B669" s="35"/>
      <c r="C669" s="35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</row>
    <row r="670">
      <c r="A670" s="35"/>
      <c r="B670" s="35"/>
      <c r="C670" s="35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</row>
    <row r="671">
      <c r="A671" s="35"/>
      <c r="B671" s="35"/>
      <c r="C671" s="35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</row>
    <row r="672">
      <c r="A672" s="35"/>
      <c r="B672" s="35"/>
      <c r="C672" s="35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</row>
    <row r="673">
      <c r="A673" s="35"/>
      <c r="B673" s="35"/>
      <c r="C673" s="35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</row>
    <row r="674">
      <c r="A674" s="35"/>
      <c r="B674" s="35"/>
      <c r="C674" s="35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</row>
    <row r="675">
      <c r="A675" s="35"/>
      <c r="B675" s="35"/>
      <c r="C675" s="35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</row>
    <row r="676">
      <c r="A676" s="35"/>
      <c r="B676" s="35"/>
      <c r="C676" s="35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</row>
    <row r="677">
      <c r="A677" s="35"/>
      <c r="B677" s="35"/>
      <c r="C677" s="35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</row>
    <row r="678">
      <c r="A678" s="35"/>
      <c r="B678" s="35"/>
      <c r="C678" s="35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</row>
    <row r="679">
      <c r="A679" s="35"/>
      <c r="B679" s="35"/>
      <c r="C679" s="35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</row>
    <row r="680">
      <c r="A680" s="35"/>
      <c r="B680" s="35"/>
      <c r="C680" s="35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</row>
    <row r="681">
      <c r="A681" s="35"/>
      <c r="B681" s="35"/>
      <c r="C681" s="35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</row>
    <row r="682">
      <c r="A682" s="35"/>
      <c r="B682" s="35"/>
      <c r="C682" s="35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</row>
    <row r="683">
      <c r="A683" s="35"/>
      <c r="B683" s="35"/>
      <c r="C683" s="35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</row>
    <row r="684">
      <c r="A684" s="35"/>
      <c r="B684" s="35"/>
      <c r="C684" s="35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</row>
    <row r="685">
      <c r="A685" s="35"/>
      <c r="B685" s="35"/>
      <c r="C685" s="35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</row>
    <row r="686">
      <c r="A686" s="35"/>
      <c r="B686" s="35"/>
      <c r="C686" s="35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</row>
    <row r="687">
      <c r="A687" s="35"/>
      <c r="B687" s="35"/>
      <c r="C687" s="35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</row>
    <row r="688">
      <c r="A688" s="35"/>
      <c r="B688" s="35"/>
      <c r="C688" s="35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</row>
    <row r="689">
      <c r="A689" s="35"/>
      <c r="B689" s="35"/>
      <c r="C689" s="35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</row>
    <row r="690">
      <c r="A690" s="35"/>
      <c r="B690" s="35"/>
      <c r="C690" s="35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</row>
    <row r="691">
      <c r="A691" s="35"/>
      <c r="B691" s="35"/>
      <c r="C691" s="35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</row>
    <row r="692">
      <c r="A692" s="35"/>
      <c r="B692" s="35"/>
      <c r="C692" s="35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</row>
    <row r="693">
      <c r="A693" s="35"/>
      <c r="B693" s="35"/>
      <c r="C693" s="35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</row>
    <row r="694">
      <c r="A694" s="35"/>
      <c r="B694" s="35"/>
      <c r="C694" s="35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</row>
    <row r="695">
      <c r="A695" s="35"/>
      <c r="B695" s="35"/>
      <c r="C695" s="35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</row>
    <row r="696">
      <c r="A696" s="35"/>
      <c r="B696" s="35"/>
      <c r="C696" s="35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</row>
    <row r="697">
      <c r="A697" s="35"/>
      <c r="B697" s="35"/>
      <c r="C697" s="35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</row>
    <row r="698">
      <c r="A698" s="35"/>
      <c r="B698" s="35"/>
      <c r="C698" s="35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</row>
    <row r="699">
      <c r="A699" s="35"/>
      <c r="B699" s="35"/>
      <c r="C699" s="35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</row>
    <row r="700">
      <c r="A700" s="35"/>
      <c r="B700" s="35"/>
      <c r="C700" s="35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</row>
    <row r="701">
      <c r="A701" s="35"/>
      <c r="B701" s="35"/>
      <c r="C701" s="35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</row>
    <row r="702">
      <c r="A702" s="35"/>
      <c r="B702" s="35"/>
      <c r="C702" s="35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</row>
    <row r="703">
      <c r="A703" s="35"/>
      <c r="B703" s="35"/>
      <c r="C703" s="35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</row>
    <row r="704">
      <c r="A704" s="35"/>
      <c r="B704" s="35"/>
      <c r="C704" s="35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</row>
    <row r="705">
      <c r="A705" s="35"/>
      <c r="B705" s="35"/>
      <c r="C705" s="35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</row>
    <row r="706">
      <c r="A706" s="35"/>
      <c r="B706" s="35"/>
      <c r="C706" s="35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</row>
    <row r="707">
      <c r="A707" s="35"/>
      <c r="B707" s="35"/>
      <c r="C707" s="35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</row>
    <row r="708">
      <c r="A708" s="35"/>
      <c r="B708" s="35"/>
      <c r="C708" s="35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</row>
    <row r="709">
      <c r="A709" s="35"/>
      <c r="B709" s="35"/>
      <c r="C709" s="35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</row>
    <row r="710">
      <c r="A710" s="35"/>
      <c r="B710" s="35"/>
      <c r="C710" s="35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</row>
    <row r="711">
      <c r="A711" s="35"/>
      <c r="B711" s="35"/>
      <c r="C711" s="35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</row>
    <row r="712">
      <c r="A712" s="35"/>
      <c r="B712" s="35"/>
      <c r="C712" s="35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</row>
    <row r="713">
      <c r="A713" s="35"/>
      <c r="B713" s="35"/>
      <c r="C713" s="35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</row>
    <row r="714">
      <c r="A714" s="35"/>
      <c r="B714" s="35"/>
      <c r="C714" s="35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</row>
    <row r="715">
      <c r="A715" s="35"/>
      <c r="B715" s="35"/>
      <c r="C715" s="35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</row>
    <row r="716">
      <c r="A716" s="35"/>
      <c r="B716" s="35"/>
      <c r="C716" s="35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</row>
    <row r="717">
      <c r="A717" s="35"/>
      <c r="B717" s="35"/>
      <c r="C717" s="35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</row>
    <row r="718">
      <c r="A718" s="35"/>
      <c r="B718" s="35"/>
      <c r="C718" s="35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</row>
    <row r="719">
      <c r="A719" s="35"/>
      <c r="B719" s="35"/>
      <c r="C719" s="35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</row>
    <row r="720">
      <c r="A720" s="35"/>
      <c r="B720" s="35"/>
      <c r="C720" s="35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</row>
    <row r="721">
      <c r="A721" s="35"/>
      <c r="B721" s="35"/>
      <c r="C721" s="35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</row>
    <row r="722">
      <c r="A722" s="35"/>
      <c r="B722" s="35"/>
      <c r="C722" s="35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</row>
    <row r="723">
      <c r="A723" s="35"/>
      <c r="B723" s="35"/>
      <c r="C723" s="35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</row>
    <row r="724">
      <c r="A724" s="35"/>
      <c r="B724" s="35"/>
      <c r="C724" s="35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</row>
    <row r="725">
      <c r="A725" s="35"/>
      <c r="B725" s="35"/>
      <c r="C725" s="35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</row>
    <row r="726">
      <c r="A726" s="35"/>
      <c r="B726" s="35"/>
      <c r="C726" s="35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</row>
    <row r="727">
      <c r="A727" s="35"/>
      <c r="B727" s="35"/>
      <c r="C727" s="35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</row>
    <row r="728">
      <c r="A728" s="35"/>
      <c r="B728" s="35"/>
      <c r="C728" s="35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</row>
    <row r="729">
      <c r="A729" s="35"/>
      <c r="B729" s="35"/>
      <c r="C729" s="35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</row>
    <row r="730">
      <c r="A730" s="35"/>
      <c r="B730" s="35"/>
      <c r="C730" s="35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</row>
    <row r="731">
      <c r="A731" s="35"/>
      <c r="B731" s="35"/>
      <c r="C731" s="35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</row>
    <row r="732">
      <c r="A732" s="35"/>
      <c r="B732" s="35"/>
      <c r="C732" s="35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</row>
    <row r="733">
      <c r="A733" s="35"/>
      <c r="B733" s="35"/>
      <c r="C733" s="35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</row>
    <row r="734">
      <c r="A734" s="35"/>
      <c r="B734" s="35"/>
      <c r="C734" s="35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</row>
    <row r="735">
      <c r="A735" s="35"/>
      <c r="B735" s="35"/>
      <c r="C735" s="35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</row>
    <row r="736">
      <c r="A736" s="35"/>
      <c r="B736" s="35"/>
      <c r="C736" s="35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</row>
    <row r="737">
      <c r="A737" s="35"/>
      <c r="B737" s="35"/>
      <c r="C737" s="35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</row>
    <row r="738">
      <c r="A738" s="35"/>
      <c r="B738" s="35"/>
      <c r="C738" s="35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</row>
    <row r="739">
      <c r="A739" s="35"/>
      <c r="B739" s="35"/>
      <c r="C739" s="35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</row>
    <row r="740">
      <c r="A740" s="35"/>
      <c r="B740" s="35"/>
      <c r="C740" s="35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</row>
    <row r="741">
      <c r="A741" s="35"/>
      <c r="B741" s="35"/>
      <c r="C741" s="35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</row>
    <row r="742">
      <c r="A742" s="35"/>
      <c r="B742" s="35"/>
      <c r="C742" s="35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</row>
    <row r="743">
      <c r="A743" s="35"/>
      <c r="B743" s="35"/>
      <c r="C743" s="35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</row>
    <row r="744">
      <c r="A744" s="35"/>
      <c r="B744" s="35"/>
      <c r="C744" s="35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</row>
    <row r="745">
      <c r="A745" s="35"/>
      <c r="B745" s="35"/>
      <c r="C745" s="35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</row>
    <row r="746">
      <c r="A746" s="35"/>
      <c r="B746" s="35"/>
      <c r="C746" s="35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</row>
    <row r="747">
      <c r="A747" s="35"/>
      <c r="B747" s="35"/>
      <c r="C747" s="35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</row>
    <row r="748">
      <c r="A748" s="35"/>
      <c r="B748" s="35"/>
      <c r="C748" s="35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</row>
    <row r="749">
      <c r="A749" s="35"/>
      <c r="B749" s="35"/>
      <c r="C749" s="35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</row>
    <row r="750">
      <c r="A750" s="35"/>
      <c r="B750" s="35"/>
      <c r="C750" s="35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</row>
    <row r="751">
      <c r="A751" s="35"/>
      <c r="B751" s="35"/>
      <c r="C751" s="35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</row>
    <row r="752">
      <c r="A752" s="35"/>
      <c r="B752" s="35"/>
      <c r="C752" s="35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</row>
    <row r="753">
      <c r="A753" s="35"/>
      <c r="B753" s="35"/>
      <c r="C753" s="35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</row>
    <row r="754">
      <c r="A754" s="35"/>
      <c r="B754" s="35"/>
      <c r="C754" s="35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</row>
    <row r="755">
      <c r="A755" s="35"/>
      <c r="B755" s="35"/>
      <c r="C755" s="35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</row>
    <row r="756">
      <c r="A756" s="35"/>
      <c r="B756" s="35"/>
      <c r="C756" s="35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</row>
    <row r="757">
      <c r="A757" s="35"/>
      <c r="B757" s="35"/>
      <c r="C757" s="35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</row>
    <row r="758">
      <c r="A758" s="35"/>
      <c r="B758" s="35"/>
      <c r="C758" s="35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</row>
    <row r="759">
      <c r="A759" s="35"/>
      <c r="B759" s="35"/>
      <c r="C759" s="35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</row>
    <row r="760">
      <c r="A760" s="35"/>
      <c r="B760" s="35"/>
      <c r="C760" s="35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</row>
    <row r="761">
      <c r="A761" s="35"/>
      <c r="B761" s="35"/>
      <c r="C761" s="35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</row>
    <row r="762">
      <c r="A762" s="35"/>
      <c r="B762" s="35"/>
      <c r="C762" s="35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</row>
    <row r="763">
      <c r="A763" s="35"/>
      <c r="B763" s="35"/>
      <c r="C763" s="35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</row>
    <row r="764">
      <c r="A764" s="35"/>
      <c r="B764" s="35"/>
      <c r="C764" s="35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</row>
    <row r="765">
      <c r="A765" s="35"/>
      <c r="B765" s="35"/>
      <c r="C765" s="35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</row>
    <row r="766">
      <c r="A766" s="35"/>
      <c r="B766" s="35"/>
      <c r="C766" s="35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</row>
    <row r="767">
      <c r="A767" s="35"/>
      <c r="B767" s="35"/>
      <c r="C767" s="35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</row>
    <row r="768">
      <c r="A768" s="35"/>
      <c r="B768" s="35"/>
      <c r="C768" s="35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</row>
    <row r="769">
      <c r="A769" s="35"/>
      <c r="B769" s="35"/>
      <c r="C769" s="35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</row>
    <row r="770">
      <c r="A770" s="35"/>
      <c r="B770" s="35"/>
      <c r="C770" s="35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</row>
    <row r="771">
      <c r="A771" s="35"/>
      <c r="B771" s="35"/>
      <c r="C771" s="35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</row>
    <row r="772">
      <c r="A772" s="35"/>
      <c r="B772" s="35"/>
      <c r="C772" s="35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</row>
    <row r="773">
      <c r="A773" s="35"/>
      <c r="B773" s="35"/>
      <c r="C773" s="35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</row>
    <row r="774">
      <c r="A774" s="35"/>
      <c r="B774" s="35"/>
      <c r="C774" s="35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</row>
    <row r="775">
      <c r="A775" s="35"/>
      <c r="B775" s="35"/>
      <c r="C775" s="35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</row>
    <row r="776">
      <c r="A776" s="35"/>
      <c r="B776" s="35"/>
      <c r="C776" s="35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</row>
    <row r="777">
      <c r="A777" s="35"/>
      <c r="B777" s="35"/>
      <c r="C777" s="35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</row>
    <row r="778">
      <c r="A778" s="35"/>
      <c r="B778" s="35"/>
      <c r="C778" s="35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</row>
    <row r="779">
      <c r="A779" s="35"/>
      <c r="B779" s="35"/>
      <c r="C779" s="35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</row>
    <row r="780">
      <c r="A780" s="35"/>
      <c r="B780" s="35"/>
      <c r="C780" s="35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</row>
    <row r="781">
      <c r="A781" s="35"/>
      <c r="B781" s="35"/>
      <c r="C781" s="35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</row>
    <row r="782">
      <c r="A782" s="35"/>
      <c r="B782" s="35"/>
      <c r="C782" s="35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</row>
    <row r="783">
      <c r="A783" s="35"/>
      <c r="B783" s="35"/>
      <c r="C783" s="35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</row>
    <row r="784">
      <c r="A784" s="35"/>
      <c r="B784" s="35"/>
      <c r="C784" s="35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</row>
    <row r="785">
      <c r="A785" s="35"/>
      <c r="B785" s="35"/>
      <c r="C785" s="35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</row>
    <row r="786">
      <c r="A786" s="35"/>
      <c r="B786" s="35"/>
      <c r="C786" s="35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</row>
    <row r="787">
      <c r="A787" s="35"/>
      <c r="B787" s="35"/>
      <c r="C787" s="35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</row>
    <row r="788">
      <c r="A788" s="35"/>
      <c r="B788" s="35"/>
      <c r="C788" s="35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</row>
    <row r="789">
      <c r="A789" s="35"/>
      <c r="B789" s="35"/>
      <c r="C789" s="35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</row>
    <row r="790">
      <c r="A790" s="35"/>
      <c r="B790" s="35"/>
      <c r="C790" s="35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</row>
    <row r="791">
      <c r="A791" s="35"/>
      <c r="B791" s="35"/>
      <c r="C791" s="35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</row>
    <row r="792">
      <c r="A792" s="35"/>
      <c r="B792" s="35"/>
      <c r="C792" s="35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</row>
    <row r="793">
      <c r="A793" s="35"/>
      <c r="B793" s="35"/>
      <c r="C793" s="35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</row>
    <row r="794">
      <c r="A794" s="35"/>
      <c r="B794" s="35"/>
      <c r="C794" s="35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</row>
    <row r="795">
      <c r="A795" s="35"/>
      <c r="B795" s="35"/>
      <c r="C795" s="35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</row>
    <row r="796">
      <c r="A796" s="35"/>
      <c r="B796" s="35"/>
      <c r="C796" s="35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</row>
    <row r="797">
      <c r="A797" s="35"/>
      <c r="B797" s="35"/>
      <c r="C797" s="35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</row>
    <row r="798">
      <c r="A798" s="35"/>
      <c r="B798" s="35"/>
      <c r="C798" s="35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</row>
    <row r="799">
      <c r="A799" s="35"/>
      <c r="B799" s="35"/>
      <c r="C799" s="35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</row>
    <row r="800">
      <c r="A800" s="35"/>
      <c r="B800" s="35"/>
      <c r="C800" s="35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</row>
    <row r="801">
      <c r="A801" s="35"/>
      <c r="B801" s="35"/>
      <c r="C801" s="35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</row>
    <row r="802">
      <c r="A802" s="35"/>
      <c r="B802" s="35"/>
      <c r="C802" s="35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</row>
    <row r="803">
      <c r="A803" s="35"/>
      <c r="B803" s="35"/>
      <c r="C803" s="35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</row>
    <row r="804">
      <c r="A804" s="35"/>
      <c r="B804" s="35"/>
      <c r="C804" s="35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</row>
    <row r="805">
      <c r="A805" s="35"/>
      <c r="B805" s="35"/>
      <c r="C805" s="35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</row>
    <row r="806">
      <c r="A806" s="35"/>
      <c r="B806" s="35"/>
      <c r="C806" s="35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</row>
    <row r="807">
      <c r="A807" s="35"/>
      <c r="B807" s="35"/>
      <c r="C807" s="35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</row>
    <row r="808">
      <c r="A808" s="35"/>
      <c r="B808" s="35"/>
      <c r="C808" s="35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</row>
    <row r="809">
      <c r="A809" s="35"/>
      <c r="B809" s="35"/>
      <c r="C809" s="35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</row>
    <row r="810">
      <c r="A810" s="35"/>
      <c r="B810" s="35"/>
      <c r="C810" s="35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</row>
    <row r="811">
      <c r="A811" s="35"/>
      <c r="B811" s="35"/>
      <c r="C811" s="35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</row>
    <row r="812">
      <c r="A812" s="35"/>
      <c r="B812" s="35"/>
      <c r="C812" s="35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</row>
    <row r="813">
      <c r="A813" s="35"/>
      <c r="B813" s="35"/>
      <c r="C813" s="35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</row>
    <row r="814">
      <c r="A814" s="35"/>
      <c r="B814" s="35"/>
      <c r="C814" s="35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</row>
    <row r="815">
      <c r="A815" s="35"/>
      <c r="B815" s="35"/>
      <c r="C815" s="35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</row>
    <row r="816">
      <c r="A816" s="35"/>
      <c r="B816" s="35"/>
      <c r="C816" s="35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</row>
    <row r="817">
      <c r="A817" s="35"/>
      <c r="B817" s="35"/>
      <c r="C817" s="35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</row>
    <row r="818">
      <c r="A818" s="35"/>
      <c r="B818" s="35"/>
      <c r="C818" s="35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</row>
    <row r="819">
      <c r="A819" s="35"/>
      <c r="B819" s="35"/>
      <c r="C819" s="35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</row>
    <row r="820">
      <c r="A820" s="35"/>
      <c r="B820" s="35"/>
      <c r="C820" s="35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</row>
    <row r="821">
      <c r="A821" s="35"/>
      <c r="B821" s="35"/>
      <c r="C821" s="35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</row>
    <row r="822">
      <c r="A822" s="35"/>
      <c r="B822" s="35"/>
      <c r="C822" s="35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</row>
    <row r="823">
      <c r="A823" s="35"/>
      <c r="B823" s="35"/>
      <c r="C823" s="35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</row>
    <row r="824">
      <c r="A824" s="35"/>
      <c r="B824" s="35"/>
      <c r="C824" s="35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</row>
    <row r="825">
      <c r="A825" s="35"/>
      <c r="B825" s="35"/>
      <c r="C825" s="35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</row>
    <row r="826">
      <c r="A826" s="35"/>
      <c r="B826" s="35"/>
      <c r="C826" s="35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</row>
    <row r="827">
      <c r="A827" s="35"/>
      <c r="B827" s="35"/>
      <c r="C827" s="35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</row>
    <row r="828">
      <c r="A828" s="35"/>
      <c r="B828" s="35"/>
      <c r="C828" s="35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</row>
    <row r="829">
      <c r="A829" s="35"/>
      <c r="B829" s="35"/>
      <c r="C829" s="35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</row>
    <row r="830">
      <c r="A830" s="35"/>
      <c r="B830" s="35"/>
      <c r="C830" s="35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</row>
    <row r="831">
      <c r="A831" s="35"/>
      <c r="B831" s="35"/>
      <c r="C831" s="35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</row>
    <row r="832">
      <c r="A832" s="35"/>
      <c r="B832" s="35"/>
      <c r="C832" s="35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</row>
    <row r="833">
      <c r="A833" s="35"/>
      <c r="B833" s="35"/>
      <c r="C833" s="35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</row>
    <row r="834">
      <c r="A834" s="35"/>
      <c r="B834" s="35"/>
      <c r="C834" s="35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</row>
    <row r="835">
      <c r="A835" s="35"/>
      <c r="B835" s="35"/>
      <c r="C835" s="35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</row>
    <row r="836">
      <c r="A836" s="35"/>
      <c r="B836" s="35"/>
      <c r="C836" s="35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</row>
    <row r="837">
      <c r="A837" s="35"/>
      <c r="B837" s="35"/>
      <c r="C837" s="35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</row>
    <row r="838">
      <c r="A838" s="35"/>
      <c r="B838" s="35"/>
      <c r="C838" s="35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</row>
    <row r="839">
      <c r="A839" s="35"/>
      <c r="B839" s="35"/>
      <c r="C839" s="35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</row>
    <row r="840">
      <c r="A840" s="35"/>
      <c r="B840" s="35"/>
      <c r="C840" s="35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</row>
    <row r="841">
      <c r="A841" s="35"/>
      <c r="B841" s="35"/>
      <c r="C841" s="35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</row>
    <row r="842">
      <c r="A842" s="35"/>
      <c r="B842" s="35"/>
      <c r="C842" s="35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</row>
    <row r="843">
      <c r="A843" s="35"/>
      <c r="B843" s="35"/>
      <c r="C843" s="35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</row>
    <row r="844">
      <c r="A844" s="35"/>
      <c r="B844" s="35"/>
      <c r="C844" s="35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</row>
    <row r="845">
      <c r="A845" s="35"/>
      <c r="B845" s="35"/>
      <c r="C845" s="35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</row>
    <row r="846">
      <c r="A846" s="35"/>
      <c r="B846" s="35"/>
      <c r="C846" s="35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</row>
    <row r="847">
      <c r="A847" s="35"/>
      <c r="B847" s="35"/>
      <c r="C847" s="35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</row>
    <row r="848">
      <c r="A848" s="35"/>
      <c r="B848" s="35"/>
      <c r="C848" s="35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</row>
    <row r="849">
      <c r="A849" s="35"/>
      <c r="B849" s="35"/>
      <c r="C849" s="35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</row>
    <row r="850">
      <c r="A850" s="35"/>
      <c r="B850" s="35"/>
      <c r="C850" s="35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</row>
    <row r="851">
      <c r="A851" s="35"/>
      <c r="B851" s="35"/>
      <c r="C851" s="35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</row>
    <row r="852">
      <c r="A852" s="35"/>
      <c r="B852" s="35"/>
      <c r="C852" s="35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</row>
    <row r="853">
      <c r="A853" s="35"/>
      <c r="B853" s="35"/>
      <c r="C853" s="35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</row>
    <row r="854">
      <c r="A854" s="35"/>
      <c r="B854" s="35"/>
      <c r="C854" s="35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</row>
    <row r="855">
      <c r="A855" s="35"/>
      <c r="B855" s="35"/>
      <c r="C855" s="35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</row>
    <row r="856">
      <c r="A856" s="35"/>
      <c r="B856" s="35"/>
      <c r="C856" s="35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</row>
    <row r="857">
      <c r="A857" s="35"/>
      <c r="B857" s="35"/>
      <c r="C857" s="35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</row>
    <row r="858">
      <c r="A858" s="35"/>
      <c r="B858" s="35"/>
      <c r="C858" s="35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</row>
    <row r="859">
      <c r="A859" s="35"/>
      <c r="B859" s="35"/>
      <c r="C859" s="35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</row>
    <row r="860">
      <c r="A860" s="35"/>
      <c r="B860" s="35"/>
      <c r="C860" s="35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</row>
    <row r="861">
      <c r="A861" s="35"/>
      <c r="B861" s="35"/>
      <c r="C861" s="35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</row>
    <row r="862">
      <c r="A862" s="35"/>
      <c r="B862" s="35"/>
      <c r="C862" s="35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</row>
    <row r="863">
      <c r="A863" s="35"/>
      <c r="B863" s="35"/>
      <c r="C863" s="35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</row>
    <row r="864">
      <c r="A864" s="35"/>
      <c r="B864" s="35"/>
      <c r="C864" s="35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</row>
    <row r="865">
      <c r="A865" s="35"/>
      <c r="B865" s="35"/>
      <c r="C865" s="35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</row>
    <row r="866">
      <c r="A866" s="35"/>
      <c r="B866" s="35"/>
      <c r="C866" s="35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</row>
    <row r="867">
      <c r="A867" s="35"/>
      <c r="B867" s="35"/>
      <c r="C867" s="35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</row>
    <row r="868">
      <c r="A868" s="35"/>
      <c r="B868" s="35"/>
      <c r="C868" s="35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</row>
    <row r="869">
      <c r="A869" s="35"/>
      <c r="B869" s="35"/>
      <c r="C869" s="35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</row>
    <row r="870">
      <c r="A870" s="35"/>
      <c r="B870" s="35"/>
      <c r="C870" s="35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</row>
    <row r="871">
      <c r="A871" s="35"/>
      <c r="B871" s="35"/>
      <c r="C871" s="35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</row>
    <row r="872">
      <c r="A872" s="35"/>
      <c r="B872" s="35"/>
      <c r="C872" s="35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</row>
    <row r="873">
      <c r="A873" s="35"/>
      <c r="B873" s="35"/>
      <c r="C873" s="35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</row>
    <row r="874">
      <c r="A874" s="35"/>
      <c r="B874" s="35"/>
      <c r="C874" s="35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</row>
    <row r="875">
      <c r="A875" s="35"/>
      <c r="B875" s="35"/>
      <c r="C875" s="35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</row>
    <row r="876">
      <c r="A876" s="35"/>
      <c r="B876" s="35"/>
      <c r="C876" s="35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</row>
    <row r="877">
      <c r="A877" s="35"/>
      <c r="B877" s="35"/>
      <c r="C877" s="35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</row>
    <row r="878">
      <c r="A878" s="35"/>
      <c r="B878" s="35"/>
      <c r="C878" s="35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</row>
    <row r="879">
      <c r="A879" s="35"/>
      <c r="B879" s="35"/>
      <c r="C879" s="35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</row>
    <row r="880">
      <c r="A880" s="35"/>
      <c r="B880" s="35"/>
      <c r="C880" s="35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</row>
    <row r="881">
      <c r="A881" s="35"/>
      <c r="B881" s="35"/>
      <c r="C881" s="35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</row>
    <row r="882">
      <c r="A882" s="35"/>
      <c r="B882" s="35"/>
      <c r="C882" s="35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</row>
    <row r="883">
      <c r="A883" s="35"/>
      <c r="B883" s="35"/>
      <c r="C883" s="35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</row>
    <row r="884">
      <c r="A884" s="35"/>
      <c r="B884" s="35"/>
      <c r="C884" s="35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</row>
    <row r="885">
      <c r="A885" s="35"/>
      <c r="B885" s="35"/>
      <c r="C885" s="35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</row>
    <row r="886">
      <c r="A886" s="35"/>
      <c r="B886" s="35"/>
      <c r="C886" s="35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</row>
    <row r="887">
      <c r="A887" s="35"/>
      <c r="B887" s="35"/>
      <c r="C887" s="35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</row>
    <row r="888">
      <c r="A888" s="35"/>
      <c r="B888" s="35"/>
      <c r="C888" s="35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</row>
    <row r="889">
      <c r="A889" s="35"/>
      <c r="B889" s="35"/>
      <c r="C889" s="35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</row>
    <row r="890">
      <c r="A890" s="35"/>
      <c r="B890" s="35"/>
      <c r="C890" s="35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</row>
    <row r="891">
      <c r="A891" s="35"/>
      <c r="B891" s="35"/>
      <c r="C891" s="35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</row>
    <row r="892">
      <c r="A892" s="35"/>
      <c r="B892" s="35"/>
      <c r="C892" s="35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</row>
    <row r="893">
      <c r="A893" s="35"/>
      <c r="B893" s="35"/>
      <c r="C893" s="35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</row>
    <row r="894">
      <c r="A894" s="35"/>
      <c r="B894" s="35"/>
      <c r="C894" s="35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</row>
    <row r="895">
      <c r="A895" s="35"/>
      <c r="B895" s="35"/>
      <c r="C895" s="35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</row>
    <row r="896">
      <c r="A896" s="35"/>
      <c r="B896" s="35"/>
      <c r="C896" s="35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</row>
    <row r="897">
      <c r="A897" s="35"/>
      <c r="B897" s="35"/>
      <c r="C897" s="35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</row>
    <row r="898">
      <c r="A898" s="35"/>
      <c r="B898" s="35"/>
      <c r="C898" s="35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</row>
    <row r="899">
      <c r="A899" s="35"/>
      <c r="B899" s="35"/>
      <c r="C899" s="35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</row>
    <row r="900">
      <c r="A900" s="35"/>
      <c r="B900" s="35"/>
      <c r="C900" s="35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</row>
    <row r="901">
      <c r="A901" s="35"/>
      <c r="B901" s="35"/>
      <c r="C901" s="35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</row>
    <row r="902">
      <c r="A902" s="35"/>
      <c r="B902" s="35"/>
      <c r="C902" s="35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</row>
    <row r="903">
      <c r="A903" s="35"/>
      <c r="B903" s="35"/>
      <c r="C903" s="35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</row>
    <row r="904">
      <c r="A904" s="35"/>
      <c r="B904" s="35"/>
      <c r="C904" s="35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</row>
    <row r="905">
      <c r="A905" s="35"/>
      <c r="B905" s="35"/>
      <c r="C905" s="35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</row>
    <row r="906">
      <c r="A906" s="35"/>
      <c r="B906" s="35"/>
      <c r="C906" s="35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</row>
    <row r="907">
      <c r="A907" s="35"/>
      <c r="B907" s="35"/>
      <c r="C907" s="35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</row>
    <row r="908">
      <c r="A908" s="35"/>
      <c r="B908" s="35"/>
      <c r="C908" s="35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</row>
    <row r="909">
      <c r="A909" s="35"/>
      <c r="B909" s="35"/>
      <c r="C909" s="35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</row>
    <row r="910">
      <c r="A910" s="35"/>
      <c r="B910" s="35"/>
      <c r="C910" s="35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</row>
    <row r="911">
      <c r="A911" s="35"/>
      <c r="B911" s="35"/>
      <c r="C911" s="35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</row>
    <row r="912">
      <c r="A912" s="35"/>
      <c r="B912" s="35"/>
      <c r="C912" s="35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</row>
    <row r="913">
      <c r="A913" s="35"/>
      <c r="B913" s="35"/>
      <c r="C913" s="35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</row>
    <row r="914">
      <c r="A914" s="35"/>
      <c r="B914" s="35"/>
      <c r="C914" s="35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</row>
    <row r="915">
      <c r="A915" s="35"/>
      <c r="B915" s="35"/>
      <c r="C915" s="35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</row>
    <row r="916">
      <c r="A916" s="35"/>
      <c r="B916" s="35"/>
      <c r="C916" s="35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</row>
    <row r="917">
      <c r="A917" s="35"/>
      <c r="B917" s="35"/>
      <c r="C917" s="35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</row>
    <row r="918">
      <c r="A918" s="35"/>
      <c r="B918" s="35"/>
      <c r="C918" s="35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</row>
    <row r="919">
      <c r="A919" s="35"/>
      <c r="B919" s="35"/>
      <c r="C919" s="35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</row>
    <row r="920">
      <c r="A920" s="35"/>
      <c r="B920" s="35"/>
      <c r="C920" s="35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</row>
    <row r="921">
      <c r="A921" s="35"/>
      <c r="B921" s="35"/>
      <c r="C921" s="35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</row>
    <row r="922">
      <c r="A922" s="35"/>
      <c r="B922" s="35"/>
      <c r="C922" s="35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</row>
    <row r="923">
      <c r="A923" s="35"/>
      <c r="B923" s="35"/>
      <c r="C923" s="35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</row>
    <row r="924">
      <c r="A924" s="35"/>
      <c r="B924" s="35"/>
      <c r="C924" s="35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</row>
    <row r="925">
      <c r="A925" s="35"/>
      <c r="B925" s="35"/>
      <c r="C925" s="35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</row>
    <row r="926">
      <c r="A926" s="35"/>
      <c r="B926" s="35"/>
      <c r="C926" s="35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</row>
    <row r="927">
      <c r="A927" s="35"/>
      <c r="B927" s="35"/>
      <c r="C927" s="35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</row>
    <row r="928">
      <c r="A928" s="35"/>
      <c r="B928" s="35"/>
      <c r="C928" s="35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</row>
    <row r="929">
      <c r="A929" s="35"/>
      <c r="B929" s="35"/>
      <c r="C929" s="35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</row>
    <row r="930">
      <c r="A930" s="35"/>
      <c r="B930" s="35"/>
      <c r="C930" s="35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</row>
    <row r="931">
      <c r="A931" s="35"/>
      <c r="B931" s="35"/>
      <c r="C931" s="35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</row>
    <row r="932">
      <c r="A932" s="35"/>
      <c r="B932" s="35"/>
      <c r="C932" s="35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</row>
    <row r="933">
      <c r="A933" s="35"/>
      <c r="B933" s="35"/>
      <c r="C933" s="35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</row>
    <row r="934">
      <c r="A934" s="35"/>
      <c r="B934" s="35"/>
      <c r="C934" s="35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</row>
    <row r="935">
      <c r="A935" s="35"/>
      <c r="B935" s="35"/>
      <c r="C935" s="35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</row>
    <row r="936">
      <c r="A936" s="35"/>
      <c r="B936" s="35"/>
      <c r="C936" s="35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</row>
    <row r="937">
      <c r="A937" s="35"/>
      <c r="B937" s="35"/>
      <c r="C937" s="35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</row>
    <row r="938">
      <c r="A938" s="35"/>
      <c r="B938" s="35"/>
      <c r="C938" s="35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</row>
    <row r="939">
      <c r="A939" s="35"/>
      <c r="B939" s="35"/>
      <c r="C939" s="35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</row>
    <row r="940">
      <c r="A940" s="35"/>
      <c r="B940" s="35"/>
      <c r="C940" s="35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</row>
    <row r="941">
      <c r="A941" s="35"/>
      <c r="B941" s="35"/>
      <c r="C941" s="35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</row>
    <row r="942">
      <c r="A942" s="35"/>
      <c r="B942" s="35"/>
      <c r="C942" s="35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</row>
    <row r="943">
      <c r="A943" s="35"/>
      <c r="B943" s="35"/>
      <c r="C943" s="35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</row>
    <row r="944">
      <c r="A944" s="35"/>
      <c r="B944" s="35"/>
      <c r="C944" s="35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</row>
    <row r="945">
      <c r="A945" s="35"/>
      <c r="B945" s="35"/>
      <c r="C945" s="35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</row>
    <row r="946">
      <c r="A946" s="35"/>
      <c r="B946" s="35"/>
      <c r="C946" s="35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</row>
    <row r="947">
      <c r="A947" s="35"/>
      <c r="B947" s="35"/>
      <c r="C947" s="35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</row>
    <row r="948">
      <c r="A948" s="35"/>
      <c r="B948" s="35"/>
      <c r="C948" s="35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</row>
    <row r="949">
      <c r="A949" s="35"/>
      <c r="B949" s="35"/>
      <c r="C949" s="35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</row>
    <row r="950">
      <c r="A950" s="35"/>
      <c r="B950" s="35"/>
      <c r="C950" s="35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</row>
    <row r="951">
      <c r="A951" s="35"/>
      <c r="B951" s="35"/>
      <c r="C951" s="35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</row>
    <row r="952">
      <c r="A952" s="35"/>
      <c r="B952" s="35"/>
      <c r="C952" s="35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</row>
    <row r="953">
      <c r="A953" s="35"/>
      <c r="B953" s="35"/>
      <c r="C953" s="35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</row>
    <row r="954">
      <c r="A954" s="35"/>
      <c r="B954" s="35"/>
      <c r="C954" s="35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</row>
    <row r="955">
      <c r="A955" s="35"/>
      <c r="B955" s="35"/>
      <c r="C955" s="35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</row>
    <row r="956">
      <c r="A956" s="35"/>
      <c r="B956" s="35"/>
      <c r="C956" s="35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</row>
    <row r="957">
      <c r="A957" s="35"/>
      <c r="B957" s="35"/>
      <c r="C957" s="35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</row>
    <row r="958">
      <c r="A958" s="35"/>
      <c r="B958" s="35"/>
      <c r="C958" s="35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</row>
    <row r="959">
      <c r="A959" s="35"/>
      <c r="B959" s="35"/>
      <c r="C959" s="35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</row>
    <row r="960">
      <c r="A960" s="35"/>
      <c r="B960" s="35"/>
      <c r="C960" s="35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</row>
    <row r="961">
      <c r="A961" s="35"/>
      <c r="B961" s="35"/>
      <c r="C961" s="35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</row>
    <row r="962">
      <c r="A962" s="35"/>
      <c r="B962" s="35"/>
      <c r="C962" s="35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</row>
    <row r="963">
      <c r="A963" s="35"/>
      <c r="B963" s="35"/>
      <c r="C963" s="35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</row>
    <row r="964">
      <c r="A964" s="35"/>
      <c r="B964" s="35"/>
      <c r="C964" s="35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</row>
    <row r="965">
      <c r="A965" s="35"/>
      <c r="B965" s="35"/>
      <c r="C965" s="35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</row>
    <row r="966">
      <c r="A966" s="35"/>
      <c r="B966" s="35"/>
      <c r="C966" s="35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</row>
    <row r="967">
      <c r="A967" s="35"/>
      <c r="B967" s="35"/>
      <c r="C967" s="35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</row>
    <row r="968">
      <c r="A968" s="35"/>
      <c r="B968" s="35"/>
      <c r="C968" s="35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</row>
    <row r="969">
      <c r="A969" s="35"/>
      <c r="B969" s="35"/>
      <c r="C969" s="35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</row>
    <row r="970">
      <c r="A970" s="35"/>
      <c r="B970" s="35"/>
      <c r="C970" s="35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</row>
    <row r="971">
      <c r="A971" s="35"/>
      <c r="B971" s="35"/>
      <c r="C971" s="35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</row>
    <row r="972">
      <c r="A972" s="35"/>
      <c r="B972" s="35"/>
      <c r="C972" s="35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</row>
    <row r="973">
      <c r="A973" s="35"/>
      <c r="B973" s="35"/>
      <c r="C973" s="35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</row>
    <row r="974">
      <c r="A974" s="35"/>
      <c r="B974" s="35"/>
      <c r="C974" s="35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</row>
    <row r="975">
      <c r="A975" s="35"/>
      <c r="B975" s="35"/>
      <c r="C975" s="35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</row>
    <row r="976">
      <c r="A976" s="35"/>
      <c r="B976" s="35"/>
      <c r="C976" s="35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</row>
  </sheetData>
  <mergeCells count="14">
    <mergeCell ref="E33:I33"/>
    <mergeCell ref="J33:J34"/>
    <mergeCell ref="K33:K34"/>
    <mergeCell ref="L33:L34"/>
    <mergeCell ref="M33:M34"/>
    <mergeCell ref="N33:N34"/>
    <mergeCell ref="B1:O4"/>
    <mergeCell ref="E5:I5"/>
    <mergeCell ref="B29:O32"/>
    <mergeCell ref="A33:A34"/>
    <mergeCell ref="B33:B34"/>
    <mergeCell ref="C33:C34"/>
    <mergeCell ref="D33:D34"/>
    <mergeCell ref="O33:O34"/>
  </mergeCells>
  <conditionalFormatting sqref="K7:K27 M7:M27 K35:K55 M35:M55">
    <cfRule type="cellIs" dxfId="0" priority="1" operator="between">
      <formula>"0%"</formula>
      <formula>"79.99%"</formula>
    </cfRule>
  </conditionalFormatting>
  <conditionalFormatting sqref="K7:K27 M7:M27 K35:K55 M35:M55">
    <cfRule type="cellIs" dxfId="1" priority="2" operator="between">
      <formula>"80%"</formula>
      <formula>"99.99%"</formula>
    </cfRule>
  </conditionalFormatting>
  <conditionalFormatting sqref="K7:K27 M7:M27 K35:K55 M35:M55">
    <cfRule type="cellIs" dxfId="2" priority="3" operator="between">
      <formula>"100%"</formula>
      <formula>"500%"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5.13"/>
    <col customWidth="1" min="3" max="3" width="22.88"/>
    <col customWidth="1" min="4" max="5" width="15.13"/>
    <col customWidth="1" min="10" max="10" width="13.63"/>
    <col customWidth="1" min="13" max="13" width="13.63"/>
    <col customWidth="1" min="16" max="16" width="24.0"/>
    <col customWidth="1" min="17" max="17" width="14.88"/>
  </cols>
  <sheetData>
    <row r="1" ht="14.25" customHeight="1">
      <c r="A1" s="69" t="s">
        <v>0</v>
      </c>
      <c r="B1" s="42" t="s">
        <v>183</v>
      </c>
    </row>
    <row r="2" ht="11.25" customHeight="1">
      <c r="A2" s="3"/>
    </row>
    <row r="3">
      <c r="A3" s="3"/>
    </row>
    <row r="4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>
      <c r="A5" s="5"/>
      <c r="B5" s="5"/>
      <c r="C5" s="5"/>
      <c r="D5" s="6"/>
      <c r="E5" s="7" t="s">
        <v>6</v>
      </c>
      <c r="F5" s="4"/>
      <c r="G5" s="4"/>
      <c r="H5" s="4"/>
      <c r="I5" s="8"/>
      <c r="J5" s="6"/>
      <c r="K5" s="6"/>
      <c r="L5" s="6"/>
      <c r="M5" s="6"/>
      <c r="N5" s="6"/>
      <c r="O5" s="6"/>
    </row>
    <row r="6">
      <c r="A6" s="5" t="s">
        <v>2</v>
      </c>
      <c r="B6" s="5" t="s">
        <v>3</v>
      </c>
      <c r="C6" s="5" t="s">
        <v>4</v>
      </c>
      <c r="D6" s="6" t="s">
        <v>5</v>
      </c>
      <c r="E6" s="9" t="s">
        <v>13</v>
      </c>
      <c r="F6" s="6" t="s">
        <v>14</v>
      </c>
      <c r="G6" s="9" t="s">
        <v>15</v>
      </c>
      <c r="H6" s="9" t="s">
        <v>16</v>
      </c>
      <c r="I6" s="9" t="s">
        <v>17</v>
      </c>
      <c r="J6" s="6" t="s">
        <v>7</v>
      </c>
      <c r="K6" s="6" t="s">
        <v>8</v>
      </c>
      <c r="L6" s="6" t="s">
        <v>9</v>
      </c>
      <c r="M6" s="6" t="s">
        <v>10</v>
      </c>
      <c r="N6" s="6" t="s">
        <v>11</v>
      </c>
      <c r="O6" s="6" t="s">
        <v>12</v>
      </c>
    </row>
    <row r="7">
      <c r="A7" s="10">
        <v>100.0</v>
      </c>
      <c r="B7" s="11" t="s">
        <v>18</v>
      </c>
      <c r="C7" s="11" t="s">
        <v>19</v>
      </c>
      <c r="D7" s="12">
        <v>1.0027777777777778E9</v>
      </c>
      <c r="E7" s="96">
        <v>2.0770979344E8</v>
      </c>
      <c r="F7" s="97">
        <v>1.4309784961E8</v>
      </c>
      <c r="G7" s="94">
        <v>2.1438695203E8</v>
      </c>
      <c r="H7" s="13">
        <v>1.8845463131E8</v>
      </c>
      <c r="I7" s="13"/>
      <c r="J7" s="14">
        <f t="shared" ref="J7:J9" si="1">SUM(E7:I7)</f>
        <v>753649226.4</v>
      </c>
      <c r="K7" s="15">
        <f t="shared" ref="K7:K27" si="2">J7/D7</f>
        <v>0.7515615554</v>
      </c>
      <c r="L7" s="16">
        <f t="shared" ref="L7:L9" si="3">J7/O7*N7</f>
        <v>753649226.4</v>
      </c>
      <c r="M7" s="59">
        <f t="shared" ref="M7:M9" si="4">L7/D7</f>
        <v>0.7515615554</v>
      </c>
      <c r="N7" s="18">
        <v>21.0</v>
      </c>
      <c r="O7" s="19">
        <v>21.0</v>
      </c>
      <c r="P7" s="20" t="s">
        <v>184</v>
      </c>
      <c r="Q7" s="47"/>
      <c r="R7" s="91"/>
    </row>
    <row r="8">
      <c r="A8" s="10">
        <v>6.0</v>
      </c>
      <c r="B8" s="11" t="s">
        <v>21</v>
      </c>
      <c r="C8" s="11" t="s">
        <v>19</v>
      </c>
      <c r="D8" s="12">
        <v>8.0E7</v>
      </c>
      <c r="E8" s="96">
        <v>3.121566607E7</v>
      </c>
      <c r="F8" s="97">
        <v>3.073162414E7</v>
      </c>
      <c r="G8" s="94">
        <v>4.451167814E7</v>
      </c>
      <c r="H8" s="13">
        <v>2.321397241E7</v>
      </c>
      <c r="I8" s="12"/>
      <c r="J8" s="14">
        <f t="shared" si="1"/>
        <v>129672940.8</v>
      </c>
      <c r="K8" s="15">
        <f t="shared" si="2"/>
        <v>1.62091176</v>
      </c>
      <c r="L8" s="16">
        <f t="shared" si="3"/>
        <v>129672940.8</v>
      </c>
      <c r="M8" s="59">
        <f t="shared" si="4"/>
        <v>1.62091176</v>
      </c>
      <c r="N8" s="18">
        <v>21.0</v>
      </c>
      <c r="O8" s="19">
        <v>21.0</v>
      </c>
      <c r="P8" s="20" t="s">
        <v>184</v>
      </c>
      <c r="Q8" s="47"/>
      <c r="R8" s="91"/>
    </row>
    <row r="9">
      <c r="A9" s="10">
        <v>64.0</v>
      </c>
      <c r="B9" s="10" t="s">
        <v>22</v>
      </c>
      <c r="C9" s="11" t="s">
        <v>19</v>
      </c>
      <c r="D9" s="12">
        <v>7.0E8</v>
      </c>
      <c r="E9" s="96">
        <v>2.140219E8</v>
      </c>
      <c r="F9" s="94">
        <v>1.38752499E8</v>
      </c>
      <c r="G9" s="94">
        <v>2.09412498E8</v>
      </c>
      <c r="H9" s="12">
        <v>7.14775E7</v>
      </c>
      <c r="I9" s="12"/>
      <c r="J9" s="14">
        <f t="shared" si="1"/>
        <v>633664397</v>
      </c>
      <c r="K9" s="15">
        <f t="shared" si="2"/>
        <v>0.9052348529</v>
      </c>
      <c r="L9" s="16">
        <f t="shared" si="3"/>
        <v>633664397</v>
      </c>
      <c r="M9" s="59">
        <f t="shared" si="4"/>
        <v>0.9052348529</v>
      </c>
      <c r="N9" s="18">
        <v>21.0</v>
      </c>
      <c r="O9" s="19">
        <v>21.0</v>
      </c>
      <c r="P9" s="20" t="s">
        <v>185</v>
      </c>
      <c r="Q9" s="48"/>
      <c r="R9" s="91"/>
    </row>
    <row r="10">
      <c r="A10" s="10">
        <v>2.0</v>
      </c>
      <c r="B10" s="10" t="s">
        <v>24</v>
      </c>
      <c r="C10" s="10" t="s">
        <v>68</v>
      </c>
      <c r="D10" s="21">
        <v>1.0</v>
      </c>
      <c r="E10" s="21">
        <v>1.49</v>
      </c>
      <c r="F10" s="21">
        <v>1.1</v>
      </c>
      <c r="G10" s="21">
        <v>1.1</v>
      </c>
      <c r="H10" s="21">
        <v>1.75</v>
      </c>
      <c r="I10" s="21"/>
      <c r="J10" s="57">
        <f t="shared" ref="J10:J11" si="5">H10</f>
        <v>1.75</v>
      </c>
      <c r="K10" s="15">
        <f t="shared" si="2"/>
        <v>1.75</v>
      </c>
      <c r="L10" s="58">
        <f t="shared" ref="L10:L11" si="6">K10</f>
        <v>1.75</v>
      </c>
      <c r="M10" s="59">
        <f t="shared" ref="M10:M11" si="7">K10</f>
        <v>1.75</v>
      </c>
      <c r="N10" s="18">
        <v>18.0</v>
      </c>
      <c r="O10" s="19">
        <v>18.0</v>
      </c>
      <c r="P10" s="20" t="s">
        <v>185</v>
      </c>
      <c r="Q10" s="48"/>
      <c r="R10" s="91"/>
    </row>
    <row r="11">
      <c r="A11" s="10">
        <v>10.0</v>
      </c>
      <c r="B11" s="10" t="s">
        <v>25</v>
      </c>
      <c r="C11" s="11" t="s">
        <v>26</v>
      </c>
      <c r="D11" s="21">
        <v>1.0</v>
      </c>
      <c r="E11" s="21">
        <v>0.64</v>
      </c>
      <c r="F11" s="21">
        <v>0.7</v>
      </c>
      <c r="G11" s="21">
        <v>0.85</v>
      </c>
      <c r="H11" s="21">
        <v>1.0</v>
      </c>
      <c r="I11" s="21"/>
      <c r="J11" s="57">
        <f t="shared" si="5"/>
        <v>1</v>
      </c>
      <c r="K11" s="15">
        <f t="shared" si="2"/>
        <v>1</v>
      </c>
      <c r="L11" s="98">
        <f t="shared" si="6"/>
        <v>1</v>
      </c>
      <c r="M11" s="78">
        <f t="shared" si="7"/>
        <v>1</v>
      </c>
      <c r="N11" s="18">
        <v>18.0</v>
      </c>
      <c r="O11" s="19">
        <v>18.0</v>
      </c>
      <c r="P11" s="20" t="s">
        <v>186</v>
      </c>
      <c r="Q11" s="48"/>
      <c r="R11" s="92"/>
    </row>
    <row r="12">
      <c r="A12" s="10">
        <v>21.0</v>
      </c>
      <c r="B12" s="10" t="s">
        <v>27</v>
      </c>
      <c r="C12" s="11" t="s">
        <v>19</v>
      </c>
      <c r="D12" s="19">
        <v>1266.0</v>
      </c>
      <c r="E12" s="18">
        <v>107.0</v>
      </c>
      <c r="F12" s="18">
        <v>195.0</v>
      </c>
      <c r="G12" s="18">
        <v>214.0</v>
      </c>
      <c r="H12" s="18">
        <v>127.0</v>
      </c>
      <c r="I12" s="29">
        <v>19.0</v>
      </c>
      <c r="J12" s="30">
        <f t="shared" ref="J12:J25" si="8">SUM(E12:I12)</f>
        <v>662</v>
      </c>
      <c r="K12" s="15">
        <f t="shared" si="2"/>
        <v>0.522906793</v>
      </c>
      <c r="L12" s="16">
        <f t="shared" ref="L12:L25" si="9">J12/O12*N12</f>
        <v>662</v>
      </c>
      <c r="M12" s="59">
        <f t="shared" ref="M12:M25" si="10">L12/D12</f>
        <v>0.522906793</v>
      </c>
      <c r="N12" s="18">
        <v>18.0</v>
      </c>
      <c r="O12" s="18">
        <v>18.0</v>
      </c>
      <c r="P12" s="20" t="s">
        <v>187</v>
      </c>
      <c r="Q12" s="48"/>
      <c r="R12" s="91"/>
    </row>
    <row r="13">
      <c r="A13" s="10">
        <v>15.0</v>
      </c>
      <c r="B13" s="10" t="s">
        <v>29</v>
      </c>
      <c r="C13" s="11" t="s">
        <v>19</v>
      </c>
      <c r="D13" s="19">
        <v>5.0341E7</v>
      </c>
      <c r="E13" s="19">
        <v>6991000.0</v>
      </c>
      <c r="F13" s="12">
        <v>1.3414E7</v>
      </c>
      <c r="G13" s="12">
        <v>1.6648E7</v>
      </c>
      <c r="H13" s="12">
        <v>1.8112E7</v>
      </c>
      <c r="I13" s="19"/>
      <c r="J13" s="30">
        <f t="shared" si="8"/>
        <v>55165000</v>
      </c>
      <c r="K13" s="15">
        <f t="shared" si="2"/>
        <v>1.095826464</v>
      </c>
      <c r="L13" s="16">
        <f t="shared" si="9"/>
        <v>55165000</v>
      </c>
      <c r="M13" s="59">
        <f t="shared" si="10"/>
        <v>1.095826464</v>
      </c>
      <c r="N13" s="18">
        <v>19.0</v>
      </c>
      <c r="O13" s="18">
        <v>19.0</v>
      </c>
      <c r="P13" s="20" t="s">
        <v>188</v>
      </c>
      <c r="Q13" s="48"/>
      <c r="R13" s="91"/>
    </row>
    <row r="14">
      <c r="A14" s="10">
        <v>35.0</v>
      </c>
      <c r="B14" s="10" t="s">
        <v>31</v>
      </c>
      <c r="C14" s="11" t="s">
        <v>19</v>
      </c>
      <c r="D14" s="12">
        <v>2.57306291E8</v>
      </c>
      <c r="E14" s="19">
        <v>8.4336508E7</v>
      </c>
      <c r="F14" s="19">
        <v>6.8217383E7</v>
      </c>
      <c r="G14" s="19">
        <v>6.3572305E7</v>
      </c>
      <c r="H14" s="19">
        <v>3.2126211E7</v>
      </c>
      <c r="I14" s="19">
        <v>1.6948272E7</v>
      </c>
      <c r="J14" s="30">
        <f t="shared" si="8"/>
        <v>265200679</v>
      </c>
      <c r="K14" s="15">
        <f t="shared" si="2"/>
        <v>1.030680898</v>
      </c>
      <c r="L14" s="16">
        <f t="shared" si="9"/>
        <v>265200679</v>
      </c>
      <c r="M14" s="59">
        <f t="shared" si="10"/>
        <v>1.030680898</v>
      </c>
      <c r="N14" s="18">
        <v>18.0</v>
      </c>
      <c r="O14" s="18">
        <v>18.0</v>
      </c>
      <c r="P14" s="20" t="s">
        <v>189</v>
      </c>
      <c r="Q14" s="48"/>
      <c r="R14" s="91"/>
    </row>
    <row r="15" ht="17.25" customHeight="1">
      <c r="A15" s="10">
        <v>100.0</v>
      </c>
      <c r="B15" s="11" t="s">
        <v>32</v>
      </c>
      <c r="C15" s="11" t="s">
        <v>19</v>
      </c>
      <c r="D15" s="19">
        <v>14125.0</v>
      </c>
      <c r="E15" s="18">
        <v>2491.0</v>
      </c>
      <c r="F15" s="60">
        <v>2485.0</v>
      </c>
      <c r="G15" s="60"/>
      <c r="H15" s="18"/>
      <c r="I15" s="18"/>
      <c r="J15" s="30">
        <f t="shared" si="8"/>
        <v>4976</v>
      </c>
      <c r="K15" s="15">
        <f t="shared" si="2"/>
        <v>0.3522831858</v>
      </c>
      <c r="L15" s="16">
        <f t="shared" si="9"/>
        <v>5268.705882</v>
      </c>
      <c r="M15" s="59">
        <f t="shared" si="10"/>
        <v>0.3730057262</v>
      </c>
      <c r="N15" s="18">
        <v>18.0</v>
      </c>
      <c r="O15" s="18">
        <v>17.0</v>
      </c>
      <c r="P15" s="20" t="s">
        <v>190</v>
      </c>
      <c r="Q15" s="48"/>
      <c r="R15" s="91"/>
    </row>
    <row r="16">
      <c r="A16" s="10">
        <v>5.0</v>
      </c>
      <c r="B16" s="10" t="s">
        <v>117</v>
      </c>
      <c r="C16" s="11" t="s">
        <v>19</v>
      </c>
      <c r="D16" s="19">
        <v>555.0</v>
      </c>
      <c r="E16" s="62">
        <v>51.0</v>
      </c>
      <c r="F16" s="63">
        <v>43.0</v>
      </c>
      <c r="G16" s="63">
        <v>63.0</v>
      </c>
      <c r="H16" s="18"/>
      <c r="I16" s="18"/>
      <c r="J16" s="45">
        <f t="shared" si="8"/>
        <v>157</v>
      </c>
      <c r="K16" s="15">
        <f t="shared" si="2"/>
        <v>0.2828828829</v>
      </c>
      <c r="L16" s="16">
        <f t="shared" si="9"/>
        <v>166.2352941</v>
      </c>
      <c r="M16" s="59">
        <f t="shared" si="10"/>
        <v>0.2995230525</v>
      </c>
      <c r="N16" s="18">
        <v>18.0</v>
      </c>
      <c r="O16" s="18">
        <v>17.0</v>
      </c>
      <c r="P16" s="68" t="str">
        <f t="shared" ref="P16:P17" si="11">P15</f>
        <v>as of December 15, 2025</v>
      </c>
      <c r="Q16" s="48"/>
      <c r="R16" s="91"/>
    </row>
    <row r="17">
      <c r="A17" s="10">
        <v>13.0</v>
      </c>
      <c r="B17" s="10" t="s">
        <v>118</v>
      </c>
      <c r="C17" s="11" t="s">
        <v>19</v>
      </c>
      <c r="D17" s="19">
        <v>1624.0</v>
      </c>
      <c r="E17" s="62">
        <v>274.0</v>
      </c>
      <c r="F17" s="63">
        <v>209.0</v>
      </c>
      <c r="G17" s="63">
        <v>349.0</v>
      </c>
      <c r="H17" s="18"/>
      <c r="I17" s="18"/>
      <c r="J17" s="45">
        <f t="shared" si="8"/>
        <v>832</v>
      </c>
      <c r="K17" s="15">
        <f t="shared" si="2"/>
        <v>0.5123152709</v>
      </c>
      <c r="L17" s="16">
        <f t="shared" si="9"/>
        <v>880.9411765</v>
      </c>
      <c r="M17" s="59">
        <f t="shared" si="10"/>
        <v>0.5424514633</v>
      </c>
      <c r="N17" s="18">
        <v>18.0</v>
      </c>
      <c r="O17" s="18">
        <v>17.0</v>
      </c>
      <c r="P17" s="68" t="str">
        <f t="shared" si="11"/>
        <v>as of December 15, 2025</v>
      </c>
      <c r="Q17" s="48"/>
      <c r="R17" s="91"/>
    </row>
    <row r="18">
      <c r="A18" s="10">
        <v>39.0</v>
      </c>
      <c r="B18" s="11" t="s">
        <v>35</v>
      </c>
      <c r="C18" s="11" t="s">
        <v>19</v>
      </c>
      <c r="D18" s="19">
        <v>4.4928E8</v>
      </c>
      <c r="E18" s="80">
        <f>50818000+66653000+44360000+33813000+44363500+30400000</f>
        <v>270407500</v>
      </c>
      <c r="F18" s="82">
        <f>64296000+38558946+30504000+30122000</f>
        <v>163480946</v>
      </c>
      <c r="G18" s="82">
        <f>44314377+26740000+28933000+43822000+36675000</f>
        <v>180484377</v>
      </c>
      <c r="H18" s="19">
        <f>41118500+26828500+21496500+45739000</f>
        <v>135182500</v>
      </c>
      <c r="I18" s="19"/>
      <c r="J18" s="30">
        <f t="shared" si="8"/>
        <v>749555323</v>
      </c>
      <c r="K18" s="15">
        <f t="shared" si="2"/>
        <v>1.668347852</v>
      </c>
      <c r="L18" s="16">
        <f t="shared" si="9"/>
        <v>749555323</v>
      </c>
      <c r="M18" s="59">
        <f t="shared" si="10"/>
        <v>1.668347852</v>
      </c>
      <c r="N18" s="18">
        <v>20.0</v>
      </c>
      <c r="O18" s="18">
        <v>20.0</v>
      </c>
      <c r="P18" s="20" t="s">
        <v>191</v>
      </c>
      <c r="Q18" s="47"/>
      <c r="R18" s="91"/>
    </row>
    <row r="19">
      <c r="A19" s="10">
        <v>5.0</v>
      </c>
      <c r="B19" s="11" t="s">
        <v>37</v>
      </c>
      <c r="C19" s="11" t="s">
        <v>19</v>
      </c>
      <c r="D19" s="12">
        <v>900.0</v>
      </c>
      <c r="E19" s="80">
        <f>46+32+36+34+28+26</f>
        <v>202</v>
      </c>
      <c r="F19" s="81">
        <f>25+46+6+25</f>
        <v>102</v>
      </c>
      <c r="G19" s="82">
        <f>31+19+34+26+17</f>
        <v>127</v>
      </c>
      <c r="H19" s="34">
        <f>12+16+21+18</f>
        <v>67</v>
      </c>
      <c r="I19" s="34"/>
      <c r="J19" s="30">
        <f t="shared" si="8"/>
        <v>498</v>
      </c>
      <c r="K19" s="15">
        <f t="shared" si="2"/>
        <v>0.5533333333</v>
      </c>
      <c r="L19" s="16">
        <f t="shared" si="9"/>
        <v>498</v>
      </c>
      <c r="M19" s="99">
        <f t="shared" si="10"/>
        <v>0.5533333333</v>
      </c>
      <c r="N19" s="18">
        <v>20.0</v>
      </c>
      <c r="O19" s="18">
        <v>20.0</v>
      </c>
      <c r="P19" s="68" t="str">
        <f>P18</f>
        <v>as of December 29, 2025</v>
      </c>
      <c r="Q19" s="47"/>
      <c r="R19" s="91"/>
    </row>
    <row r="20">
      <c r="A20" s="10">
        <v>10.0</v>
      </c>
      <c r="B20" s="11" t="s">
        <v>38</v>
      </c>
      <c r="C20" s="11" t="s">
        <v>19</v>
      </c>
      <c r="D20" s="12">
        <v>2300.0</v>
      </c>
      <c r="E20" s="80">
        <f>71+130+85+125+129+132</f>
        <v>672</v>
      </c>
      <c r="F20" s="89">
        <f>116+154+108+145</f>
        <v>523</v>
      </c>
      <c r="G20" s="90">
        <f>61+123+129+121+99</f>
        <v>533</v>
      </c>
      <c r="H20" s="29">
        <f>80+102+87+100</f>
        <v>369</v>
      </c>
      <c r="I20" s="29"/>
      <c r="J20" s="30">
        <f t="shared" si="8"/>
        <v>2097</v>
      </c>
      <c r="K20" s="15">
        <f t="shared" si="2"/>
        <v>0.9117391304</v>
      </c>
      <c r="L20" s="16">
        <f t="shared" si="9"/>
        <v>2097</v>
      </c>
      <c r="M20" s="59">
        <f t="shared" si="10"/>
        <v>0.9117391304</v>
      </c>
      <c r="N20" s="18">
        <v>20.0</v>
      </c>
      <c r="O20" s="18">
        <f t="shared" ref="O20:P20" si="12">O19</f>
        <v>20</v>
      </c>
      <c r="P20" s="68" t="str">
        <f t="shared" si="12"/>
        <v>as of December 29, 2025</v>
      </c>
      <c r="Q20" s="47"/>
      <c r="R20" s="91"/>
    </row>
    <row r="21">
      <c r="A21" s="10">
        <v>25.0</v>
      </c>
      <c r="B21" s="10" t="s">
        <v>39</v>
      </c>
      <c r="C21" s="11" t="s">
        <v>19</v>
      </c>
      <c r="D21" s="12">
        <v>4900.0</v>
      </c>
      <c r="E21" s="19">
        <f>174+139+159+186+200+204</f>
        <v>1062</v>
      </c>
      <c r="F21" s="29">
        <f>195+197+126+125</f>
        <v>643</v>
      </c>
      <c r="G21" s="19">
        <f>90+200+209+244+145</f>
        <v>888</v>
      </c>
      <c r="H21" s="29">
        <f>108+68+60+68</f>
        <v>304</v>
      </c>
      <c r="I21" s="29"/>
      <c r="J21" s="30">
        <f t="shared" si="8"/>
        <v>2897</v>
      </c>
      <c r="K21" s="15">
        <f t="shared" si="2"/>
        <v>0.5912244898</v>
      </c>
      <c r="L21" s="16">
        <f t="shared" si="9"/>
        <v>2897</v>
      </c>
      <c r="M21" s="59">
        <f t="shared" si="10"/>
        <v>0.5912244898</v>
      </c>
      <c r="N21" s="18">
        <v>20.0</v>
      </c>
      <c r="O21" s="63">
        <f t="shared" ref="O21:P21" si="13">O20</f>
        <v>20</v>
      </c>
      <c r="P21" s="68" t="str">
        <f t="shared" si="13"/>
        <v>as of December 29, 2025</v>
      </c>
      <c r="Q21" s="48"/>
      <c r="R21" s="91"/>
    </row>
    <row r="22">
      <c r="A22" s="10">
        <v>20.0</v>
      </c>
      <c r="B22" s="10" t="s">
        <v>40</v>
      </c>
      <c r="C22" s="11" t="s">
        <v>19</v>
      </c>
      <c r="D22" s="12">
        <v>80.0</v>
      </c>
      <c r="E22" s="19">
        <v>24.0</v>
      </c>
      <c r="F22" s="29">
        <v>21.0</v>
      </c>
      <c r="G22" s="29">
        <v>28.0</v>
      </c>
      <c r="H22" s="29">
        <v>8.0</v>
      </c>
      <c r="I22" s="29">
        <v>2.0</v>
      </c>
      <c r="J22" s="30">
        <f t="shared" si="8"/>
        <v>83</v>
      </c>
      <c r="K22" s="15">
        <f t="shared" si="2"/>
        <v>1.0375</v>
      </c>
      <c r="L22" s="16">
        <f t="shared" si="9"/>
        <v>83</v>
      </c>
      <c r="M22" s="59">
        <f t="shared" si="10"/>
        <v>1.0375</v>
      </c>
      <c r="N22" s="62">
        <v>20.0</v>
      </c>
      <c r="O22" s="63">
        <v>20.0</v>
      </c>
      <c r="P22" s="20" t="s">
        <v>192</v>
      </c>
      <c r="Q22" s="48"/>
      <c r="R22" s="91"/>
    </row>
    <row r="23">
      <c r="A23" s="10">
        <v>21.0</v>
      </c>
      <c r="B23" s="10" t="s">
        <v>73</v>
      </c>
      <c r="C23" s="11" t="s">
        <v>19</v>
      </c>
      <c r="D23" s="12">
        <v>1152.0</v>
      </c>
      <c r="E23" s="19">
        <v>153.0</v>
      </c>
      <c r="F23" s="29">
        <v>307.0</v>
      </c>
      <c r="G23" s="29">
        <v>117.0</v>
      </c>
      <c r="H23" s="102">
        <v>280.0</v>
      </c>
      <c r="I23" s="29">
        <v>50.0</v>
      </c>
      <c r="J23" s="30">
        <f t="shared" si="8"/>
        <v>907</v>
      </c>
      <c r="K23" s="15">
        <f t="shared" si="2"/>
        <v>0.7873263889</v>
      </c>
      <c r="L23" s="16">
        <f t="shared" si="9"/>
        <v>907</v>
      </c>
      <c r="M23" s="59">
        <f t="shared" si="10"/>
        <v>0.7873263889</v>
      </c>
      <c r="N23" s="62">
        <v>22.0</v>
      </c>
      <c r="O23" s="63">
        <v>22.0</v>
      </c>
      <c r="P23" s="20" t="s">
        <v>193</v>
      </c>
      <c r="Q23" s="48"/>
      <c r="R23" s="91"/>
    </row>
    <row r="24">
      <c r="A24" s="10">
        <v>5.0</v>
      </c>
      <c r="B24" s="10" t="s">
        <v>134</v>
      </c>
      <c r="C24" s="11" t="s">
        <v>19</v>
      </c>
      <c r="D24" s="12">
        <v>5.504E7</v>
      </c>
      <c r="E24" s="19">
        <v>8557500.0</v>
      </c>
      <c r="F24" s="12">
        <v>1.02405E7</v>
      </c>
      <c r="G24" s="96">
        <v>1.198045E7</v>
      </c>
      <c r="H24" s="103">
        <v>1892308.0</v>
      </c>
      <c r="I24" s="12">
        <v>1346000.0</v>
      </c>
      <c r="J24" s="30">
        <f t="shared" si="8"/>
        <v>34016758</v>
      </c>
      <c r="K24" s="15">
        <f t="shared" si="2"/>
        <v>0.6180370276</v>
      </c>
      <c r="L24" s="16">
        <f t="shared" si="9"/>
        <v>34016758</v>
      </c>
      <c r="M24" s="59">
        <f t="shared" si="10"/>
        <v>0.6180370276</v>
      </c>
      <c r="N24" s="62">
        <v>20.0</v>
      </c>
      <c r="O24" s="63">
        <v>20.0</v>
      </c>
      <c r="P24" s="20" t="s">
        <v>194</v>
      </c>
      <c r="Q24" s="48"/>
      <c r="R24" s="91"/>
    </row>
    <row r="25">
      <c r="A25" s="10">
        <v>3.0</v>
      </c>
      <c r="B25" s="10" t="s">
        <v>43</v>
      </c>
      <c r="C25" s="11" t="s">
        <v>19</v>
      </c>
      <c r="D25" s="12">
        <v>35.0</v>
      </c>
      <c r="E25" s="12">
        <v>7.0</v>
      </c>
      <c r="F25" s="12">
        <v>15.0</v>
      </c>
      <c r="G25" s="12">
        <v>22.0</v>
      </c>
      <c r="H25" s="12">
        <v>1.0</v>
      </c>
      <c r="I25" s="12">
        <v>1.0</v>
      </c>
      <c r="J25" s="14">
        <f t="shared" si="8"/>
        <v>46</v>
      </c>
      <c r="K25" s="15">
        <f t="shared" si="2"/>
        <v>1.314285714</v>
      </c>
      <c r="L25" s="16">
        <f t="shared" si="9"/>
        <v>46</v>
      </c>
      <c r="M25" s="59">
        <f t="shared" si="10"/>
        <v>1.314285714</v>
      </c>
      <c r="N25" s="62">
        <v>20.0</v>
      </c>
      <c r="O25" s="63">
        <v>20.0</v>
      </c>
      <c r="P25" s="20" t="s">
        <v>192</v>
      </c>
      <c r="Q25" s="48"/>
      <c r="R25" s="91"/>
    </row>
    <row r="26">
      <c r="A26" s="10">
        <v>90.0</v>
      </c>
      <c r="B26" s="10" t="s">
        <v>44</v>
      </c>
      <c r="C26" s="11" t="s">
        <v>19</v>
      </c>
      <c r="D26" s="21">
        <v>0.85</v>
      </c>
      <c r="E26" s="21">
        <v>0.937</v>
      </c>
      <c r="F26" s="24">
        <v>0.9268</v>
      </c>
      <c r="G26" s="24">
        <v>0.9361</v>
      </c>
      <c r="H26" s="24">
        <v>0.9361</v>
      </c>
      <c r="I26" s="24">
        <v>0.95</v>
      </c>
      <c r="J26" s="57">
        <f>I26</f>
        <v>0.95</v>
      </c>
      <c r="K26" s="15">
        <f t="shared" si="2"/>
        <v>1.117647059</v>
      </c>
      <c r="L26" s="15">
        <f t="shared" ref="L26:M26" si="14">J26</f>
        <v>0.95</v>
      </c>
      <c r="M26" s="59">
        <f t="shared" si="14"/>
        <v>1.117647059</v>
      </c>
      <c r="N26" s="62">
        <v>31.0</v>
      </c>
      <c r="O26" s="63">
        <v>31.0</v>
      </c>
      <c r="P26" s="20" t="s">
        <v>195</v>
      </c>
      <c r="Q26" s="48"/>
      <c r="R26" s="91"/>
    </row>
    <row r="27">
      <c r="A27" s="10">
        <v>88.0</v>
      </c>
      <c r="B27" s="10" t="s">
        <v>120</v>
      </c>
      <c r="C27" s="10" t="s">
        <v>121</v>
      </c>
      <c r="D27" s="21">
        <v>0.85</v>
      </c>
      <c r="E27" s="23">
        <v>0.75</v>
      </c>
      <c r="F27" s="44">
        <v>0.875</v>
      </c>
      <c r="G27" s="44"/>
      <c r="H27" s="44"/>
      <c r="I27" s="24"/>
      <c r="J27" s="23">
        <f>average(E27:H27)</f>
        <v>0.8125</v>
      </c>
      <c r="K27" s="15">
        <f t="shared" si="2"/>
        <v>0.9558823529</v>
      </c>
      <c r="L27" s="15">
        <f>K27</f>
        <v>0.9558823529</v>
      </c>
      <c r="M27" s="59">
        <f>K27</f>
        <v>0.9558823529</v>
      </c>
      <c r="N27" s="62">
        <v>23.0</v>
      </c>
      <c r="O27" s="83">
        <v>19.0</v>
      </c>
      <c r="P27" s="20" t="s">
        <v>196</v>
      </c>
      <c r="Q27" s="48"/>
      <c r="R27" s="91"/>
    </row>
    <row r="28">
      <c r="A28" s="35"/>
      <c r="B28" s="35"/>
      <c r="C28" s="35"/>
      <c r="D28" s="36"/>
      <c r="E28" s="37"/>
      <c r="F28" s="38"/>
      <c r="G28" s="38"/>
      <c r="H28" s="36"/>
      <c r="I28" s="38"/>
      <c r="J28" s="37"/>
      <c r="K28" s="39"/>
      <c r="L28" s="40"/>
      <c r="M28" s="41"/>
      <c r="N28" s="38"/>
      <c r="O28" s="38"/>
      <c r="R28" s="91"/>
    </row>
    <row r="29" ht="15.0" customHeight="1">
      <c r="A29" s="1" t="s">
        <v>0</v>
      </c>
      <c r="B29" s="42" t="s">
        <v>197</v>
      </c>
    </row>
    <row r="30" ht="10.5" customHeight="1">
      <c r="A30" s="3"/>
    </row>
    <row r="31">
      <c r="A31" s="3"/>
    </row>
    <row r="32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>
      <c r="A33" s="5" t="s">
        <v>2</v>
      </c>
      <c r="B33" s="5" t="s">
        <v>3</v>
      </c>
      <c r="C33" s="5" t="s">
        <v>4</v>
      </c>
      <c r="D33" s="6" t="s">
        <v>5</v>
      </c>
      <c r="E33" s="7" t="s">
        <v>6</v>
      </c>
      <c r="F33" s="4"/>
      <c r="G33" s="4"/>
      <c r="H33" s="4"/>
      <c r="I33" s="8"/>
      <c r="J33" s="104">
        <v>6.0</v>
      </c>
      <c r="K33" s="6" t="s">
        <v>8</v>
      </c>
      <c r="L33" s="6" t="s">
        <v>9</v>
      </c>
      <c r="M33" s="6" t="s">
        <v>10</v>
      </c>
      <c r="N33" s="6" t="s">
        <v>11</v>
      </c>
      <c r="O33" s="6" t="s">
        <v>12</v>
      </c>
    </row>
    <row r="34">
      <c r="A34" s="8"/>
      <c r="B34" s="8"/>
      <c r="C34" s="8"/>
      <c r="D34" s="8"/>
      <c r="E34" s="9" t="s">
        <v>13</v>
      </c>
      <c r="F34" s="9" t="s">
        <v>14</v>
      </c>
      <c r="G34" s="9" t="s">
        <v>15</v>
      </c>
      <c r="H34" s="9" t="s">
        <v>16</v>
      </c>
      <c r="I34" s="9" t="s">
        <v>17</v>
      </c>
      <c r="J34" s="8"/>
      <c r="K34" s="8"/>
      <c r="L34" s="8"/>
      <c r="M34" s="8"/>
      <c r="N34" s="8"/>
      <c r="O34" s="8"/>
    </row>
    <row r="35">
      <c r="A35" s="10">
        <v>100.0</v>
      </c>
      <c r="B35" s="11" t="s">
        <v>18</v>
      </c>
      <c r="C35" s="11" t="s">
        <v>19</v>
      </c>
      <c r="D35" s="19">
        <v>9.5E8</v>
      </c>
      <c r="E35" s="12">
        <v>1.4871588444E8</v>
      </c>
      <c r="F35" s="12">
        <v>1.4023255831E8</v>
      </c>
      <c r="G35" s="12">
        <v>1.713324117E8</v>
      </c>
      <c r="H35" s="13">
        <v>2.4981268049E8</v>
      </c>
      <c r="I35" s="13"/>
      <c r="J35" s="14">
        <f t="shared" ref="J35:J37" si="15">SUM(E35:I35)</f>
        <v>710093534.9</v>
      </c>
      <c r="K35" s="15">
        <f t="shared" ref="K35:K38" si="16">J35/D35</f>
        <v>0.7474668789</v>
      </c>
      <c r="L35" s="16">
        <f t="shared" ref="L35:L37" si="17">J35/O35*N35</f>
        <v>710093534.9</v>
      </c>
      <c r="M35" s="59">
        <f t="shared" ref="M35:M37" si="18">L35/D35</f>
        <v>0.7474668789</v>
      </c>
      <c r="N35" s="18">
        <v>17.0</v>
      </c>
      <c r="O35" s="19">
        <v>17.0</v>
      </c>
      <c r="P35" s="20" t="s">
        <v>192</v>
      </c>
    </row>
    <row r="36">
      <c r="A36" s="10">
        <v>6.0</v>
      </c>
      <c r="B36" s="11" t="s">
        <v>21</v>
      </c>
      <c r="C36" s="11" t="s">
        <v>19</v>
      </c>
      <c r="D36" s="19">
        <v>7.2E7</v>
      </c>
      <c r="E36" s="12">
        <v>2.258533731E7</v>
      </c>
      <c r="F36" s="12">
        <v>2.165050841E7</v>
      </c>
      <c r="G36" s="12">
        <v>4.952063364E7</v>
      </c>
      <c r="H36" s="13">
        <v>2.826479769E7</v>
      </c>
      <c r="I36" s="12"/>
      <c r="J36" s="14">
        <f t="shared" si="15"/>
        <v>122021277.1</v>
      </c>
      <c r="K36" s="15">
        <f t="shared" si="16"/>
        <v>1.694739959</v>
      </c>
      <c r="L36" s="16">
        <f t="shared" si="17"/>
        <v>122021277.1</v>
      </c>
      <c r="M36" s="59">
        <f t="shared" si="18"/>
        <v>1.694739959</v>
      </c>
      <c r="N36" s="18">
        <v>17.0</v>
      </c>
      <c r="O36" s="19">
        <v>17.0</v>
      </c>
      <c r="P36" s="20" t="s">
        <v>192</v>
      </c>
    </row>
    <row r="37">
      <c r="A37" s="10">
        <v>64.0</v>
      </c>
      <c r="B37" s="10" t="s">
        <v>22</v>
      </c>
      <c r="C37" s="11" t="s">
        <v>19</v>
      </c>
      <c r="D37" s="19">
        <v>6.2E8</v>
      </c>
      <c r="E37" s="12">
        <v>1.05673E8</v>
      </c>
      <c r="F37" s="12">
        <v>1.220104E8</v>
      </c>
      <c r="G37" s="12">
        <v>1.68047999E8</v>
      </c>
      <c r="H37" s="12">
        <v>1.53477998E8</v>
      </c>
      <c r="I37" s="12"/>
      <c r="J37" s="14">
        <f t="shared" si="15"/>
        <v>549209397</v>
      </c>
      <c r="K37" s="15">
        <f t="shared" si="16"/>
        <v>0.8858216081</v>
      </c>
      <c r="L37" s="16">
        <f t="shared" si="17"/>
        <v>549209397</v>
      </c>
      <c r="M37" s="59">
        <f t="shared" si="18"/>
        <v>0.8858216081</v>
      </c>
      <c r="N37" s="18">
        <v>18.0</v>
      </c>
      <c r="O37" s="19">
        <v>18.0</v>
      </c>
      <c r="P37" s="20" t="s">
        <v>185</v>
      </c>
    </row>
    <row r="38">
      <c r="A38" s="10">
        <v>2.0</v>
      </c>
      <c r="B38" s="10" t="s">
        <v>24</v>
      </c>
      <c r="C38" s="10" t="s">
        <v>68</v>
      </c>
      <c r="D38" s="21">
        <v>1.0</v>
      </c>
      <c r="E38" s="21">
        <v>1.49</v>
      </c>
      <c r="F38" s="21">
        <v>1.1</v>
      </c>
      <c r="G38" s="21">
        <v>1.1</v>
      </c>
      <c r="H38" s="21">
        <v>1.75</v>
      </c>
      <c r="I38" s="21"/>
      <c r="J38" s="57">
        <f>G38</f>
        <v>1.1</v>
      </c>
      <c r="K38" s="15">
        <f t="shared" si="16"/>
        <v>1.1</v>
      </c>
      <c r="L38" s="58">
        <f>K38</f>
        <v>1.1</v>
      </c>
      <c r="M38" s="59">
        <f t="shared" ref="M38:M39" si="22">K38</f>
        <v>1.1</v>
      </c>
      <c r="N38" s="18">
        <v>18.0</v>
      </c>
      <c r="O38" s="19">
        <v>18.0</v>
      </c>
      <c r="P38" s="20" t="s">
        <v>185</v>
      </c>
    </row>
    <row r="39">
      <c r="A39" s="10">
        <v>10.0</v>
      </c>
      <c r="B39" s="10" t="s">
        <v>25</v>
      </c>
      <c r="C39" s="11" t="s">
        <v>26</v>
      </c>
      <c r="D39" s="21">
        <f t="shared" ref="D39:E39" si="19">D11</f>
        <v>1</v>
      </c>
      <c r="E39" s="21">
        <f t="shared" si="19"/>
        <v>0.64</v>
      </c>
      <c r="F39" s="21">
        <v>0.7</v>
      </c>
      <c r="G39" s="21">
        <f t="shared" ref="G39:I39" si="20">G11</f>
        <v>0.85</v>
      </c>
      <c r="H39" s="21">
        <f t="shared" si="20"/>
        <v>1</v>
      </c>
      <c r="I39" s="21" t="str">
        <f t="shared" si="20"/>
        <v/>
      </c>
      <c r="J39" s="57">
        <f>H39</f>
        <v>1</v>
      </c>
      <c r="K39" s="15">
        <f t="shared" ref="K39:L39" si="21">J39</f>
        <v>1</v>
      </c>
      <c r="L39" s="58">
        <f t="shared" si="21"/>
        <v>1</v>
      </c>
      <c r="M39" s="59">
        <f t="shared" si="22"/>
        <v>1</v>
      </c>
      <c r="N39" s="18">
        <v>18.0</v>
      </c>
      <c r="O39" s="19">
        <v>18.0</v>
      </c>
      <c r="P39" s="20" t="s">
        <v>191</v>
      </c>
    </row>
    <row r="40">
      <c r="A40" s="10">
        <v>21.0</v>
      </c>
      <c r="B40" s="10" t="s">
        <v>27</v>
      </c>
      <c r="C40" s="10" t="s">
        <v>109</v>
      </c>
      <c r="D40" s="19">
        <v>721.0</v>
      </c>
      <c r="E40" s="18">
        <v>157.0</v>
      </c>
      <c r="F40" s="18">
        <v>120.0</v>
      </c>
      <c r="G40" s="18">
        <v>29.0</v>
      </c>
      <c r="H40" s="18"/>
      <c r="I40" s="29"/>
      <c r="J40" s="45">
        <f t="shared" ref="J40:J42" si="23">sum(E40:I40)</f>
        <v>306</v>
      </c>
      <c r="K40" s="15">
        <f t="shared" ref="K40:K55" si="24">J40/D40</f>
        <v>0.4244105409</v>
      </c>
      <c r="L40" s="16">
        <f t="shared" ref="L40:L45" si="25">J40/O40*N40</f>
        <v>423.6923077</v>
      </c>
      <c r="M40" s="59">
        <f t="shared" ref="M40:M53" si="26">L40/D40</f>
        <v>0.5876453643</v>
      </c>
      <c r="N40" s="62">
        <v>18.0</v>
      </c>
      <c r="O40" s="63">
        <v>13.0</v>
      </c>
      <c r="P40" s="20" t="s">
        <v>198</v>
      </c>
    </row>
    <row r="41">
      <c r="A41" s="10">
        <v>15.0</v>
      </c>
      <c r="B41" s="10" t="s">
        <v>29</v>
      </c>
      <c r="C41" s="10" t="s">
        <v>110</v>
      </c>
      <c r="D41" s="12">
        <v>1.157E7</v>
      </c>
      <c r="E41" s="19">
        <v>2511000.0</v>
      </c>
      <c r="F41" s="12">
        <v>2064000.0</v>
      </c>
      <c r="G41" s="19">
        <v>1752000.0</v>
      </c>
      <c r="H41" s="19">
        <v>1285000.0</v>
      </c>
      <c r="I41" s="19"/>
      <c r="J41" s="30">
        <f t="shared" si="23"/>
        <v>7612000</v>
      </c>
      <c r="K41" s="15">
        <f t="shared" si="24"/>
        <v>0.6579083838</v>
      </c>
      <c r="L41" s="16">
        <f t="shared" si="25"/>
        <v>7612000</v>
      </c>
      <c r="M41" s="59">
        <f t="shared" si="26"/>
        <v>0.6579083838</v>
      </c>
      <c r="N41" s="62">
        <v>18.0</v>
      </c>
      <c r="O41" s="63">
        <v>18.0</v>
      </c>
      <c r="P41" s="20" t="s">
        <v>189</v>
      </c>
    </row>
    <row r="42">
      <c r="A42" s="10">
        <v>35.0</v>
      </c>
      <c r="B42" s="10" t="s">
        <v>31</v>
      </c>
      <c r="C42" s="10" t="s">
        <v>109</v>
      </c>
      <c r="D42" s="12">
        <f t="shared" ref="D42:I42" si="27">D14</f>
        <v>257306291</v>
      </c>
      <c r="E42" s="12">
        <f t="shared" si="27"/>
        <v>84336508</v>
      </c>
      <c r="F42" s="12">
        <f t="shared" si="27"/>
        <v>68217383</v>
      </c>
      <c r="G42" s="12">
        <f t="shared" si="27"/>
        <v>63572305</v>
      </c>
      <c r="H42" s="12">
        <f t="shared" si="27"/>
        <v>32126211</v>
      </c>
      <c r="I42" s="12">
        <f t="shared" si="27"/>
        <v>16948272</v>
      </c>
      <c r="J42" s="14">
        <f t="shared" si="23"/>
        <v>265200679</v>
      </c>
      <c r="K42" s="15">
        <f t="shared" si="24"/>
        <v>1.030680898</v>
      </c>
      <c r="L42" s="16">
        <f t="shared" si="25"/>
        <v>265200679</v>
      </c>
      <c r="M42" s="59">
        <f t="shared" si="26"/>
        <v>1.030680898</v>
      </c>
      <c r="N42" s="70">
        <f t="shared" ref="N42:P42" si="28">N14</f>
        <v>18</v>
      </c>
      <c r="O42" s="82">
        <f t="shared" si="28"/>
        <v>18</v>
      </c>
      <c r="P42" s="93" t="str">
        <f t="shared" si="28"/>
        <v>as of December 30, 2025</v>
      </c>
    </row>
    <row r="43">
      <c r="A43" s="10">
        <v>100.0</v>
      </c>
      <c r="B43" s="11" t="s">
        <v>32</v>
      </c>
      <c r="C43" s="10" t="s">
        <v>76</v>
      </c>
      <c r="D43" s="19">
        <f t="shared" ref="D43:H43" si="29">D15</f>
        <v>14125</v>
      </c>
      <c r="E43" s="18">
        <f t="shared" si="29"/>
        <v>2491</v>
      </c>
      <c r="F43" s="18">
        <f t="shared" si="29"/>
        <v>2485</v>
      </c>
      <c r="G43" s="18" t="str">
        <f t="shared" si="29"/>
        <v/>
      </c>
      <c r="H43" s="18" t="str">
        <f t="shared" si="29"/>
        <v/>
      </c>
      <c r="I43" s="18"/>
      <c r="J43" s="45">
        <f t="shared" ref="J43:J53" si="32">SUM(E43:I43)</f>
        <v>4976</v>
      </c>
      <c r="K43" s="15">
        <f t="shared" si="24"/>
        <v>0.3522831858</v>
      </c>
      <c r="L43" s="16">
        <f t="shared" si="25"/>
        <v>5268.705882</v>
      </c>
      <c r="M43" s="59">
        <f t="shared" si="26"/>
        <v>0.3730057262</v>
      </c>
      <c r="N43" s="62">
        <f t="shared" ref="N43:P43" si="30">N15</f>
        <v>18</v>
      </c>
      <c r="O43" s="63">
        <f t="shared" si="30"/>
        <v>17</v>
      </c>
      <c r="P43" s="64" t="str">
        <f t="shared" si="30"/>
        <v>as of December 15, 2025</v>
      </c>
    </row>
    <row r="44">
      <c r="A44" s="10">
        <v>5.0</v>
      </c>
      <c r="B44" s="10" t="s">
        <v>154</v>
      </c>
      <c r="C44" s="10" t="s">
        <v>76</v>
      </c>
      <c r="D44" s="19">
        <f t="shared" ref="D44:H44" si="31">D16</f>
        <v>555</v>
      </c>
      <c r="E44" s="18">
        <f t="shared" si="31"/>
        <v>51</v>
      </c>
      <c r="F44" s="18">
        <f t="shared" si="31"/>
        <v>43</v>
      </c>
      <c r="G44" s="18">
        <f t="shared" si="31"/>
        <v>63</v>
      </c>
      <c r="H44" s="18" t="str">
        <f t="shared" si="31"/>
        <v/>
      </c>
      <c r="I44" s="18"/>
      <c r="J44" s="45">
        <f t="shared" si="32"/>
        <v>157</v>
      </c>
      <c r="K44" s="15">
        <f t="shared" si="24"/>
        <v>0.2828828829</v>
      </c>
      <c r="L44" s="16">
        <f t="shared" si="25"/>
        <v>166.2352941</v>
      </c>
      <c r="M44" s="59">
        <f t="shared" si="26"/>
        <v>0.2995230525</v>
      </c>
      <c r="N44" s="18">
        <f t="shared" ref="N44:N49" si="35">N16</f>
        <v>18</v>
      </c>
      <c r="O44" s="63">
        <f t="shared" ref="O44:P44" si="33">O43</f>
        <v>17</v>
      </c>
      <c r="P44" s="64" t="str">
        <f t="shared" si="33"/>
        <v>as of December 15, 2025</v>
      </c>
    </row>
    <row r="45">
      <c r="A45" s="10">
        <v>13.0</v>
      </c>
      <c r="B45" s="10" t="s">
        <v>118</v>
      </c>
      <c r="C45" s="10" t="s">
        <v>76</v>
      </c>
      <c r="D45" s="19">
        <f t="shared" ref="D45:H45" si="34">D17</f>
        <v>1624</v>
      </c>
      <c r="E45" s="18">
        <f t="shared" si="34"/>
        <v>274</v>
      </c>
      <c r="F45" s="18">
        <f t="shared" si="34"/>
        <v>209</v>
      </c>
      <c r="G45" s="18">
        <f t="shared" si="34"/>
        <v>349</v>
      </c>
      <c r="H45" s="18" t="str">
        <f t="shared" si="34"/>
        <v/>
      </c>
      <c r="I45" s="18"/>
      <c r="J45" s="45">
        <f t="shared" si="32"/>
        <v>832</v>
      </c>
      <c r="K45" s="15">
        <f t="shared" si="24"/>
        <v>0.5123152709</v>
      </c>
      <c r="L45" s="16">
        <f t="shared" si="25"/>
        <v>880.9411765</v>
      </c>
      <c r="M45" s="59">
        <f t="shared" si="26"/>
        <v>0.5424514633</v>
      </c>
      <c r="N45" s="18">
        <f t="shared" si="35"/>
        <v>18</v>
      </c>
      <c r="O45" s="63">
        <f t="shared" ref="O45:P45" si="36">O44</f>
        <v>17</v>
      </c>
      <c r="P45" s="64" t="str">
        <f t="shared" si="36"/>
        <v>as of December 15, 2025</v>
      </c>
    </row>
    <row r="46">
      <c r="A46" s="10">
        <f t="shared" ref="A46:A49" si="39">A18</f>
        <v>39</v>
      </c>
      <c r="B46" s="11" t="s">
        <v>35</v>
      </c>
      <c r="C46" s="11" t="s">
        <v>19</v>
      </c>
      <c r="D46" s="19">
        <f t="shared" ref="D46:I46" si="37">D18</f>
        <v>449280000</v>
      </c>
      <c r="E46" s="19">
        <f t="shared" si="37"/>
        <v>270407500</v>
      </c>
      <c r="F46" s="19">
        <f t="shared" si="37"/>
        <v>163480946</v>
      </c>
      <c r="G46" s="19">
        <f t="shared" si="37"/>
        <v>180484377</v>
      </c>
      <c r="H46" s="19">
        <f t="shared" si="37"/>
        <v>135182500</v>
      </c>
      <c r="I46" s="46" t="str">
        <f t="shared" si="37"/>
        <v/>
      </c>
      <c r="J46" s="30">
        <f t="shared" si="32"/>
        <v>749555323</v>
      </c>
      <c r="K46" s="15">
        <f t="shared" si="24"/>
        <v>1.668347852</v>
      </c>
      <c r="L46" s="16">
        <f t="shared" ref="L46:L49" si="41">L18</f>
        <v>749555323</v>
      </c>
      <c r="M46" s="59">
        <f t="shared" si="26"/>
        <v>1.668347852</v>
      </c>
      <c r="N46" s="18">
        <f t="shared" si="35"/>
        <v>20</v>
      </c>
      <c r="O46" s="63">
        <f t="shared" ref="O46:P46" si="38">O18</f>
        <v>20</v>
      </c>
      <c r="P46" s="68" t="str">
        <f t="shared" si="38"/>
        <v>as of December 29, 2025</v>
      </c>
    </row>
    <row r="47">
      <c r="A47" s="10">
        <f t="shared" si="39"/>
        <v>5</v>
      </c>
      <c r="B47" s="11" t="s">
        <v>37</v>
      </c>
      <c r="C47" s="11" t="s">
        <v>19</v>
      </c>
      <c r="D47" s="19">
        <f t="shared" ref="D47:I47" si="40">D19</f>
        <v>900</v>
      </c>
      <c r="E47" s="19">
        <f t="shared" si="40"/>
        <v>202</v>
      </c>
      <c r="F47" s="19">
        <f t="shared" si="40"/>
        <v>102</v>
      </c>
      <c r="G47" s="19">
        <f t="shared" si="40"/>
        <v>127</v>
      </c>
      <c r="H47" s="19">
        <f t="shared" si="40"/>
        <v>67</v>
      </c>
      <c r="I47" s="46" t="str">
        <f t="shared" si="40"/>
        <v/>
      </c>
      <c r="J47" s="30">
        <f t="shared" si="32"/>
        <v>498</v>
      </c>
      <c r="K47" s="15">
        <f t="shared" si="24"/>
        <v>0.5533333333</v>
      </c>
      <c r="L47" s="16">
        <f t="shared" si="41"/>
        <v>498</v>
      </c>
      <c r="M47" s="59">
        <f t="shared" si="26"/>
        <v>0.5533333333</v>
      </c>
      <c r="N47" s="18">
        <f t="shared" si="35"/>
        <v>20</v>
      </c>
      <c r="O47" s="18">
        <f t="shared" ref="O47:P47" si="42">O19</f>
        <v>20</v>
      </c>
      <c r="P47" s="68" t="str">
        <f t="shared" si="42"/>
        <v>as of December 29, 2025</v>
      </c>
    </row>
    <row r="48">
      <c r="A48" s="10">
        <f t="shared" si="39"/>
        <v>10</v>
      </c>
      <c r="B48" s="11" t="s">
        <v>38</v>
      </c>
      <c r="C48" s="11" t="s">
        <v>19</v>
      </c>
      <c r="D48" s="19">
        <f t="shared" ref="D48:I48" si="43">D20</f>
        <v>2300</v>
      </c>
      <c r="E48" s="19">
        <f t="shared" si="43"/>
        <v>672</v>
      </c>
      <c r="F48" s="19">
        <f t="shared" si="43"/>
        <v>523</v>
      </c>
      <c r="G48" s="19">
        <f t="shared" si="43"/>
        <v>533</v>
      </c>
      <c r="H48" s="19">
        <f t="shared" si="43"/>
        <v>369</v>
      </c>
      <c r="I48" s="46" t="str">
        <f t="shared" si="43"/>
        <v/>
      </c>
      <c r="J48" s="30">
        <f t="shared" si="32"/>
        <v>2097</v>
      </c>
      <c r="K48" s="15">
        <f t="shared" si="24"/>
        <v>0.9117391304</v>
      </c>
      <c r="L48" s="16">
        <f t="shared" si="41"/>
        <v>2097</v>
      </c>
      <c r="M48" s="59">
        <f t="shared" si="26"/>
        <v>0.9117391304</v>
      </c>
      <c r="N48" s="18">
        <f t="shared" si="35"/>
        <v>20</v>
      </c>
      <c r="O48" s="18">
        <f t="shared" ref="O48:P48" si="44">O20</f>
        <v>20</v>
      </c>
      <c r="P48" s="68" t="str">
        <f t="shared" si="44"/>
        <v>as of December 29, 2025</v>
      </c>
    </row>
    <row r="49">
      <c r="A49" s="10">
        <f t="shared" si="39"/>
        <v>25</v>
      </c>
      <c r="B49" s="10" t="s">
        <v>39</v>
      </c>
      <c r="C49" s="11" t="s">
        <v>19</v>
      </c>
      <c r="D49" s="19">
        <f t="shared" ref="D49:I49" si="45">D21</f>
        <v>4900</v>
      </c>
      <c r="E49" s="19">
        <f t="shared" si="45"/>
        <v>1062</v>
      </c>
      <c r="F49" s="19">
        <f t="shared" si="45"/>
        <v>643</v>
      </c>
      <c r="G49" s="19">
        <f t="shared" si="45"/>
        <v>888</v>
      </c>
      <c r="H49" s="19">
        <f t="shared" si="45"/>
        <v>304</v>
      </c>
      <c r="I49" s="46" t="str">
        <f t="shared" si="45"/>
        <v/>
      </c>
      <c r="J49" s="30">
        <f t="shared" si="32"/>
        <v>2897</v>
      </c>
      <c r="K49" s="15">
        <f t="shared" si="24"/>
        <v>0.5912244898</v>
      </c>
      <c r="L49" s="16">
        <f t="shared" si="41"/>
        <v>2897</v>
      </c>
      <c r="M49" s="59">
        <f t="shared" si="26"/>
        <v>0.5912244898</v>
      </c>
      <c r="N49" s="18">
        <f t="shared" si="35"/>
        <v>20</v>
      </c>
      <c r="O49" s="18">
        <f t="shared" ref="O49:P49" si="46">O21</f>
        <v>20</v>
      </c>
      <c r="P49" s="68" t="str">
        <f t="shared" si="46"/>
        <v>as of December 29, 2025</v>
      </c>
    </row>
    <row r="50">
      <c r="A50" s="10">
        <v>20.0</v>
      </c>
      <c r="B50" s="10" t="s">
        <v>77</v>
      </c>
      <c r="C50" s="11" t="s">
        <v>19</v>
      </c>
      <c r="D50" s="12">
        <v>80.0</v>
      </c>
      <c r="E50" s="19">
        <v>24.0</v>
      </c>
      <c r="F50" s="29">
        <v>21.0</v>
      </c>
      <c r="G50" s="29">
        <v>28.0</v>
      </c>
      <c r="H50" s="29">
        <v>8.0</v>
      </c>
      <c r="I50" s="29">
        <v>2.0</v>
      </c>
      <c r="J50" s="30">
        <f t="shared" si="32"/>
        <v>83</v>
      </c>
      <c r="K50" s="15">
        <f t="shared" si="24"/>
        <v>1.0375</v>
      </c>
      <c r="L50" s="16">
        <f t="shared" ref="L50:L53" si="48">J50/O50*N50</f>
        <v>83</v>
      </c>
      <c r="M50" s="59">
        <f t="shared" si="26"/>
        <v>1.0375</v>
      </c>
      <c r="N50" s="18">
        <v>20.0</v>
      </c>
      <c r="O50" s="18">
        <f t="shared" ref="O50:P50" si="47">O22</f>
        <v>20</v>
      </c>
      <c r="P50" s="86" t="str">
        <f t="shared" si="47"/>
        <v>as of December 29, 2025 - FINAL</v>
      </c>
    </row>
    <row r="51">
      <c r="A51" s="10">
        <v>21.0</v>
      </c>
      <c r="B51" s="10" t="s">
        <v>73</v>
      </c>
      <c r="C51" s="11" t="s">
        <v>19</v>
      </c>
      <c r="D51" s="12">
        <v>761.0</v>
      </c>
      <c r="E51" s="19">
        <v>157.0</v>
      </c>
      <c r="F51" s="29">
        <v>116.0</v>
      </c>
      <c r="G51" s="29">
        <v>68.0</v>
      </c>
      <c r="H51" s="87"/>
      <c r="I51" s="88"/>
      <c r="J51" s="30">
        <f t="shared" si="32"/>
        <v>341</v>
      </c>
      <c r="K51" s="15">
        <f t="shared" si="24"/>
        <v>0.4480946124</v>
      </c>
      <c r="L51" s="16">
        <f t="shared" si="48"/>
        <v>472.1538462</v>
      </c>
      <c r="M51" s="59">
        <f t="shared" si="26"/>
        <v>0.620438694</v>
      </c>
      <c r="N51" s="18">
        <v>18.0</v>
      </c>
      <c r="O51" s="18">
        <v>13.0</v>
      </c>
      <c r="P51" s="20" t="s">
        <v>198</v>
      </c>
    </row>
    <row r="52">
      <c r="A52" s="10">
        <v>5.0</v>
      </c>
      <c r="B52" s="10" t="s">
        <v>134</v>
      </c>
      <c r="C52" s="11" t="s">
        <v>19</v>
      </c>
      <c r="D52" s="12">
        <v>5.504E7</v>
      </c>
      <c r="E52" s="12">
        <v>6558800.0</v>
      </c>
      <c r="F52" s="12">
        <v>7599500.0</v>
      </c>
      <c r="G52" s="12">
        <v>1.27745E7</v>
      </c>
      <c r="H52" s="94">
        <v>8309450.0</v>
      </c>
      <c r="I52" s="94"/>
      <c r="J52" s="14">
        <f t="shared" si="32"/>
        <v>35242250</v>
      </c>
      <c r="K52" s="15">
        <f t="shared" si="24"/>
        <v>0.6403025073</v>
      </c>
      <c r="L52" s="95">
        <f t="shared" si="48"/>
        <v>35242250</v>
      </c>
      <c r="M52" s="59">
        <f t="shared" si="26"/>
        <v>0.6403025073</v>
      </c>
      <c r="N52" s="18">
        <v>18.0</v>
      </c>
      <c r="O52" s="18">
        <v>18.0</v>
      </c>
      <c r="P52" s="20" t="s">
        <v>199</v>
      </c>
    </row>
    <row r="53">
      <c r="A53" s="10">
        <v>3.0</v>
      </c>
      <c r="B53" s="10" t="s">
        <v>43</v>
      </c>
      <c r="C53" s="11" t="s">
        <v>19</v>
      </c>
      <c r="D53" s="12">
        <v>35.0</v>
      </c>
      <c r="E53" s="12">
        <v>7.0</v>
      </c>
      <c r="F53" s="12">
        <v>15.0</v>
      </c>
      <c r="G53" s="12">
        <v>22.0</v>
      </c>
      <c r="H53" s="12">
        <v>1.0</v>
      </c>
      <c r="I53" s="12"/>
      <c r="J53" s="14">
        <f t="shared" si="32"/>
        <v>45</v>
      </c>
      <c r="K53" s="15">
        <f t="shared" si="24"/>
        <v>1.285714286</v>
      </c>
      <c r="L53" s="16">
        <f t="shared" si="48"/>
        <v>45</v>
      </c>
      <c r="M53" s="59">
        <f t="shared" si="26"/>
        <v>1.285714286</v>
      </c>
      <c r="N53" s="18">
        <v>20.0</v>
      </c>
      <c r="O53" s="18">
        <f t="shared" ref="O53:P53" si="49">O25</f>
        <v>20</v>
      </c>
      <c r="P53" s="86" t="str">
        <f t="shared" si="49"/>
        <v>as of December 29, 2025 - FINAL</v>
      </c>
    </row>
    <row r="54">
      <c r="A54" s="10">
        <v>45.0</v>
      </c>
      <c r="B54" s="10" t="s">
        <v>44</v>
      </c>
      <c r="C54" s="11" t="s">
        <v>19</v>
      </c>
      <c r="D54" s="21">
        <v>0.85</v>
      </c>
      <c r="E54" s="21">
        <v>0.937</v>
      </c>
      <c r="F54" s="24">
        <v>0.9268</v>
      </c>
      <c r="G54" s="24">
        <v>0.9361</v>
      </c>
      <c r="H54" s="24">
        <v>0.9361</v>
      </c>
      <c r="I54" s="24">
        <v>0.96</v>
      </c>
      <c r="J54" s="57">
        <f>I54</f>
        <v>0.96</v>
      </c>
      <c r="K54" s="15">
        <f t="shared" si="24"/>
        <v>1.129411765</v>
      </c>
      <c r="L54" s="15">
        <f t="shared" ref="L54:L55" si="52">K54</f>
        <v>1.129411765</v>
      </c>
      <c r="M54" s="59">
        <f t="shared" ref="M54:M55" si="53">K54</f>
        <v>1.129411765</v>
      </c>
      <c r="N54" s="18">
        <v>31.0</v>
      </c>
      <c r="O54" s="18">
        <f t="shared" ref="O54:P54" si="50">O26</f>
        <v>31</v>
      </c>
      <c r="P54" s="86" t="str">
        <f t="shared" si="50"/>
        <v>as of December 31, 2025 - FINAL</v>
      </c>
    </row>
    <row r="55">
      <c r="A55" s="10">
        <v>88.0</v>
      </c>
      <c r="B55" s="10" t="s">
        <v>120</v>
      </c>
      <c r="C55" s="10" t="s">
        <v>121</v>
      </c>
      <c r="D55" s="21">
        <f t="shared" ref="D55:J55" si="51">D27</f>
        <v>0.85</v>
      </c>
      <c r="E55" s="23">
        <f t="shared" si="51"/>
        <v>0.75</v>
      </c>
      <c r="F55" s="23">
        <f t="shared" si="51"/>
        <v>0.875</v>
      </c>
      <c r="G55" s="23" t="str">
        <f t="shared" si="51"/>
        <v/>
      </c>
      <c r="H55" s="23" t="str">
        <f t="shared" si="51"/>
        <v/>
      </c>
      <c r="I55" s="23" t="str">
        <f t="shared" si="51"/>
        <v/>
      </c>
      <c r="J55" s="23">
        <f t="shared" si="51"/>
        <v>0.8125</v>
      </c>
      <c r="K55" s="15">
        <f t="shared" si="24"/>
        <v>0.9558823529</v>
      </c>
      <c r="L55" s="15">
        <f t="shared" si="52"/>
        <v>0.9558823529</v>
      </c>
      <c r="M55" s="59">
        <f t="shared" si="53"/>
        <v>0.9558823529</v>
      </c>
      <c r="N55" s="19">
        <v>30.0</v>
      </c>
      <c r="O55" s="19">
        <f t="shared" ref="O55:P55" si="54">O27</f>
        <v>19</v>
      </c>
      <c r="P55" s="101" t="str">
        <f t="shared" si="54"/>
        <v>as of December 14, 2025</v>
      </c>
    </row>
    <row r="56">
      <c r="A56" s="35"/>
      <c r="B56" s="35"/>
      <c r="C56" s="35"/>
      <c r="D56" s="38"/>
      <c r="E56" s="38"/>
      <c r="F56" s="38"/>
      <c r="G56" s="38"/>
      <c r="H56" s="38"/>
      <c r="I56" s="38"/>
      <c r="J56" s="38"/>
      <c r="K56" s="38"/>
      <c r="L56" s="38"/>
      <c r="M56" s="74"/>
      <c r="N56" s="38"/>
      <c r="O56" s="38"/>
    </row>
    <row r="57">
      <c r="A57" s="35"/>
      <c r="B57" s="35"/>
      <c r="C57" s="35"/>
      <c r="D57" s="38"/>
      <c r="E57" s="38"/>
      <c r="F57" s="36"/>
      <c r="G57" s="38"/>
      <c r="H57" s="38"/>
      <c r="I57" s="38"/>
      <c r="J57" s="55"/>
      <c r="K57" s="56"/>
      <c r="L57" s="38"/>
      <c r="M57" s="38"/>
      <c r="N57" s="38"/>
      <c r="O57" s="38"/>
    </row>
    <row r="58">
      <c r="A58" s="35"/>
      <c r="B58" s="35"/>
      <c r="C58" s="35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</row>
    <row r="59">
      <c r="A59" s="35"/>
      <c r="C59" s="35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</row>
    <row r="60">
      <c r="A60" s="35"/>
      <c r="B60" s="35"/>
      <c r="C60" s="35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</row>
    <row r="61">
      <c r="A61" s="35"/>
      <c r="B61" s="35"/>
      <c r="C61" s="35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</row>
    <row r="62">
      <c r="A62" s="35"/>
      <c r="B62" s="35"/>
      <c r="C62" s="35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</row>
    <row r="63">
      <c r="A63" s="35"/>
      <c r="B63" s="35"/>
      <c r="C63" s="35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</row>
    <row r="64">
      <c r="A64" s="35"/>
      <c r="B64" s="35"/>
      <c r="C64" s="35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</row>
    <row r="65">
      <c r="A65" s="35"/>
      <c r="B65" s="35"/>
      <c r="C65" s="35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</row>
    <row r="66">
      <c r="A66" s="35"/>
      <c r="B66" s="35"/>
      <c r="C66" s="35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</row>
    <row r="67">
      <c r="A67" s="35"/>
      <c r="B67" s="35"/>
      <c r="C67" s="35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</row>
    <row r="68">
      <c r="A68" s="35"/>
      <c r="B68" s="35"/>
      <c r="C68" s="35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</row>
    <row r="69">
      <c r="A69" s="35"/>
      <c r="B69" s="35"/>
      <c r="C69" s="35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</row>
    <row r="70">
      <c r="A70" s="35"/>
      <c r="B70" s="35"/>
      <c r="C70" s="35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</row>
    <row r="71">
      <c r="A71" s="35"/>
      <c r="B71" s="35"/>
      <c r="C71" s="35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</row>
    <row r="72">
      <c r="A72" s="35"/>
      <c r="B72" s="35"/>
      <c r="C72" s="35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</row>
    <row r="73">
      <c r="A73" s="35"/>
      <c r="B73" s="35"/>
      <c r="C73" s="35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</row>
    <row r="74">
      <c r="A74" s="35"/>
      <c r="B74" s="35"/>
      <c r="C74" s="35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</row>
    <row r="75">
      <c r="A75" s="35"/>
      <c r="B75" s="35"/>
      <c r="C75" s="35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</row>
    <row r="76">
      <c r="A76" s="35"/>
      <c r="B76" s="35"/>
      <c r="C76" s="35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</row>
    <row r="77">
      <c r="A77" s="35"/>
      <c r="B77" s="35"/>
      <c r="C77" s="35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</row>
    <row r="78">
      <c r="A78" s="35"/>
      <c r="B78" s="35"/>
      <c r="C78" s="35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</row>
    <row r="79">
      <c r="A79" s="35"/>
      <c r="B79" s="35"/>
      <c r="C79" s="35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</row>
    <row r="80">
      <c r="A80" s="35"/>
      <c r="B80" s="35"/>
      <c r="C80" s="35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</row>
    <row r="81">
      <c r="A81" s="35"/>
      <c r="B81" s="35"/>
      <c r="C81" s="35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</row>
    <row r="82">
      <c r="A82" s="35"/>
      <c r="B82" s="35"/>
      <c r="C82" s="35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</row>
    <row r="83">
      <c r="A83" s="35"/>
      <c r="B83" s="35"/>
      <c r="C83" s="35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</row>
    <row r="84">
      <c r="A84" s="35"/>
      <c r="B84" s="35"/>
      <c r="C84" s="35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</row>
    <row r="85">
      <c r="A85" s="35"/>
      <c r="B85" s="35"/>
      <c r="C85" s="35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</row>
    <row r="86">
      <c r="A86" s="35"/>
      <c r="B86" s="35"/>
      <c r="C86" s="35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</row>
    <row r="87">
      <c r="A87" s="35"/>
      <c r="B87" s="35"/>
      <c r="C87" s="35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</row>
    <row r="88">
      <c r="A88" s="35"/>
      <c r="B88" s="35"/>
      <c r="C88" s="35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</row>
    <row r="89">
      <c r="A89" s="35"/>
      <c r="B89" s="35"/>
      <c r="C89" s="35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</row>
    <row r="90">
      <c r="A90" s="35"/>
      <c r="B90" s="35"/>
      <c r="C90" s="35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</row>
    <row r="91">
      <c r="A91" s="35"/>
      <c r="B91" s="35"/>
      <c r="C91" s="35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</row>
    <row r="92">
      <c r="A92" s="35"/>
      <c r="B92" s="35"/>
      <c r="C92" s="35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</row>
    <row r="93">
      <c r="A93" s="35"/>
      <c r="B93" s="35"/>
      <c r="C93" s="35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</row>
    <row r="94">
      <c r="A94" s="35"/>
      <c r="B94" s="35"/>
      <c r="C94" s="35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</row>
    <row r="95">
      <c r="A95" s="35"/>
      <c r="B95" s="35"/>
      <c r="C95" s="35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</row>
    <row r="96">
      <c r="A96" s="35"/>
      <c r="B96" s="35"/>
      <c r="C96" s="35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</row>
    <row r="97">
      <c r="A97" s="35"/>
      <c r="B97" s="35"/>
      <c r="C97" s="35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</row>
    <row r="98">
      <c r="A98" s="35"/>
      <c r="B98" s="35"/>
      <c r="C98" s="35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</row>
    <row r="99">
      <c r="A99" s="35"/>
      <c r="B99" s="35"/>
      <c r="C99" s="35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</row>
    <row r="100">
      <c r="A100" s="35"/>
      <c r="B100" s="35"/>
      <c r="C100" s="35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</row>
    <row r="101">
      <c r="A101" s="35"/>
      <c r="B101" s="35"/>
      <c r="C101" s="35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</row>
    <row r="102">
      <c r="A102" s="35"/>
      <c r="B102" s="35"/>
      <c r="C102" s="35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</row>
    <row r="103">
      <c r="A103" s="35"/>
      <c r="B103" s="35"/>
      <c r="C103" s="35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</row>
    <row r="104">
      <c r="A104" s="35"/>
      <c r="B104" s="35"/>
      <c r="C104" s="35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</row>
    <row r="105">
      <c r="A105" s="35"/>
      <c r="B105" s="35"/>
      <c r="C105" s="35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</row>
    <row r="106">
      <c r="A106" s="35"/>
      <c r="B106" s="35"/>
      <c r="C106" s="35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</row>
    <row r="107">
      <c r="A107" s="35"/>
      <c r="B107" s="35"/>
      <c r="C107" s="35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</row>
    <row r="108">
      <c r="A108" s="35"/>
      <c r="B108" s="35"/>
      <c r="C108" s="35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</row>
    <row r="109">
      <c r="A109" s="35"/>
      <c r="B109" s="35"/>
      <c r="C109" s="35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</row>
    <row r="110">
      <c r="A110" s="35"/>
      <c r="B110" s="35"/>
      <c r="C110" s="35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</row>
    <row r="111">
      <c r="A111" s="35"/>
      <c r="B111" s="35"/>
      <c r="C111" s="35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</row>
    <row r="112">
      <c r="A112" s="35"/>
      <c r="B112" s="35"/>
      <c r="C112" s="35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</row>
    <row r="113">
      <c r="A113" s="35"/>
      <c r="B113" s="35"/>
      <c r="C113" s="35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</row>
    <row r="114">
      <c r="A114" s="35"/>
      <c r="B114" s="35"/>
      <c r="C114" s="35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</row>
    <row r="115">
      <c r="A115" s="35"/>
      <c r="B115" s="35"/>
      <c r="C115" s="35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</row>
    <row r="116">
      <c r="A116" s="35"/>
      <c r="B116" s="35"/>
      <c r="C116" s="35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</row>
    <row r="117">
      <c r="A117" s="35"/>
      <c r="B117" s="35"/>
      <c r="C117" s="35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</row>
    <row r="118">
      <c r="A118" s="35"/>
      <c r="B118" s="35"/>
      <c r="C118" s="35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</row>
    <row r="119">
      <c r="A119" s="35"/>
      <c r="B119" s="35"/>
      <c r="C119" s="35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</row>
    <row r="120">
      <c r="A120" s="35"/>
      <c r="B120" s="35"/>
      <c r="C120" s="35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</row>
    <row r="121">
      <c r="A121" s="35"/>
      <c r="B121" s="35"/>
      <c r="C121" s="35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</row>
    <row r="122">
      <c r="A122" s="35"/>
      <c r="B122" s="35"/>
      <c r="C122" s="35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</row>
    <row r="123">
      <c r="A123" s="35"/>
      <c r="B123" s="35"/>
      <c r="C123" s="35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</row>
    <row r="124">
      <c r="A124" s="35"/>
      <c r="B124" s="35"/>
      <c r="C124" s="35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</row>
    <row r="125">
      <c r="A125" s="35"/>
      <c r="B125" s="35"/>
      <c r="C125" s="35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</row>
    <row r="126">
      <c r="A126" s="35"/>
      <c r="B126" s="35"/>
      <c r="C126" s="35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</row>
    <row r="127">
      <c r="A127" s="35"/>
      <c r="B127" s="35"/>
      <c r="C127" s="35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</row>
    <row r="128">
      <c r="A128" s="35"/>
      <c r="B128" s="35"/>
      <c r="C128" s="35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</row>
    <row r="129">
      <c r="A129" s="35"/>
      <c r="B129" s="35"/>
      <c r="C129" s="35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</row>
    <row r="130">
      <c r="A130" s="35"/>
      <c r="B130" s="35"/>
      <c r="C130" s="35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</row>
    <row r="131">
      <c r="A131" s="35"/>
      <c r="B131" s="35"/>
      <c r="C131" s="35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</row>
    <row r="132">
      <c r="A132" s="35"/>
      <c r="B132" s="35"/>
      <c r="C132" s="35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</row>
    <row r="133">
      <c r="A133" s="35"/>
      <c r="B133" s="35"/>
      <c r="C133" s="35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</row>
    <row r="134">
      <c r="A134" s="35"/>
      <c r="B134" s="35"/>
      <c r="C134" s="35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</row>
    <row r="135">
      <c r="A135" s="35"/>
      <c r="B135" s="35"/>
      <c r="C135" s="35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</row>
    <row r="136">
      <c r="A136" s="35"/>
      <c r="B136" s="35"/>
      <c r="C136" s="35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</row>
    <row r="137">
      <c r="A137" s="35"/>
      <c r="B137" s="35"/>
      <c r="C137" s="35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</row>
    <row r="138">
      <c r="A138" s="35"/>
      <c r="B138" s="35"/>
      <c r="C138" s="35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</row>
    <row r="139">
      <c r="A139" s="35"/>
      <c r="B139" s="35"/>
      <c r="C139" s="35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</row>
    <row r="140">
      <c r="A140" s="35"/>
      <c r="B140" s="35"/>
      <c r="C140" s="35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</row>
    <row r="141">
      <c r="A141" s="35"/>
      <c r="B141" s="35"/>
      <c r="C141" s="35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</row>
    <row r="142">
      <c r="A142" s="35"/>
      <c r="B142" s="35"/>
      <c r="C142" s="35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</row>
    <row r="143">
      <c r="A143" s="35"/>
      <c r="B143" s="35"/>
      <c r="C143" s="35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</row>
    <row r="144">
      <c r="A144" s="35"/>
      <c r="B144" s="35"/>
      <c r="C144" s="35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</row>
    <row r="145">
      <c r="A145" s="35"/>
      <c r="B145" s="35"/>
      <c r="C145" s="35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</row>
    <row r="146">
      <c r="A146" s="35"/>
      <c r="B146" s="35"/>
      <c r="C146" s="35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</row>
    <row r="147">
      <c r="A147" s="35"/>
      <c r="B147" s="35"/>
      <c r="C147" s="35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</row>
    <row r="148">
      <c r="A148" s="35"/>
      <c r="B148" s="35"/>
      <c r="C148" s="35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</row>
    <row r="149">
      <c r="A149" s="35"/>
      <c r="B149" s="35"/>
      <c r="C149" s="35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</row>
    <row r="150">
      <c r="A150" s="35"/>
      <c r="B150" s="35"/>
      <c r="C150" s="35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</row>
    <row r="151">
      <c r="A151" s="35"/>
      <c r="B151" s="35"/>
      <c r="C151" s="35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</row>
    <row r="152">
      <c r="A152" s="35"/>
      <c r="B152" s="35"/>
      <c r="C152" s="35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</row>
    <row r="153">
      <c r="A153" s="35"/>
      <c r="B153" s="35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</row>
    <row r="154">
      <c r="A154" s="35"/>
      <c r="B154" s="35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</row>
    <row r="155">
      <c r="A155" s="35"/>
      <c r="B155" s="35"/>
      <c r="C155" s="35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</row>
    <row r="156">
      <c r="A156" s="35"/>
      <c r="B156" s="35"/>
      <c r="C156" s="35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</row>
    <row r="157">
      <c r="A157" s="35"/>
      <c r="B157" s="35"/>
      <c r="C157" s="35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</row>
    <row r="158">
      <c r="A158" s="35"/>
      <c r="B158" s="35"/>
      <c r="C158" s="35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</row>
    <row r="159">
      <c r="A159" s="35"/>
      <c r="B159" s="35"/>
      <c r="C159" s="35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</row>
    <row r="160">
      <c r="A160" s="35"/>
      <c r="B160" s="35"/>
      <c r="C160" s="35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</row>
    <row r="161">
      <c r="A161" s="35"/>
      <c r="B161" s="35"/>
      <c r="C161" s="35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</row>
    <row r="162">
      <c r="A162" s="35"/>
      <c r="B162" s="35"/>
      <c r="C162" s="35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</row>
    <row r="163">
      <c r="A163" s="35"/>
      <c r="B163" s="35"/>
      <c r="C163" s="35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</row>
    <row r="164">
      <c r="A164" s="35"/>
      <c r="B164" s="35"/>
      <c r="C164" s="35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</row>
    <row r="165">
      <c r="A165" s="35"/>
      <c r="B165" s="35"/>
      <c r="C165" s="35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</row>
    <row r="166">
      <c r="A166" s="35"/>
      <c r="B166" s="35"/>
      <c r="C166" s="35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</row>
    <row r="167">
      <c r="A167" s="35"/>
      <c r="B167" s="35"/>
      <c r="C167" s="35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</row>
    <row r="168">
      <c r="A168" s="35"/>
      <c r="B168" s="35"/>
      <c r="C168" s="35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</row>
    <row r="169">
      <c r="A169" s="35"/>
      <c r="B169" s="35"/>
      <c r="C169" s="35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</row>
    <row r="170">
      <c r="A170" s="35"/>
      <c r="B170" s="35"/>
      <c r="C170" s="35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</row>
    <row r="171">
      <c r="A171" s="35"/>
      <c r="B171" s="35"/>
      <c r="C171" s="35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</row>
    <row r="172">
      <c r="A172" s="35"/>
      <c r="B172" s="35"/>
      <c r="C172" s="35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</row>
    <row r="173">
      <c r="A173" s="35"/>
      <c r="B173" s="35"/>
      <c r="C173" s="35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</row>
    <row r="174">
      <c r="A174" s="35"/>
      <c r="B174" s="35"/>
      <c r="C174" s="35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</row>
    <row r="175">
      <c r="A175" s="35"/>
      <c r="B175" s="35"/>
      <c r="C175" s="35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</row>
    <row r="176">
      <c r="A176" s="35"/>
      <c r="B176" s="35"/>
      <c r="C176" s="35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</row>
    <row r="177">
      <c r="A177" s="35"/>
      <c r="B177" s="35"/>
      <c r="C177" s="35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</row>
    <row r="178">
      <c r="A178" s="35"/>
      <c r="B178" s="35"/>
      <c r="C178" s="35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</row>
    <row r="179">
      <c r="A179" s="35"/>
      <c r="B179" s="35"/>
      <c r="C179" s="35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</row>
    <row r="180">
      <c r="A180" s="35"/>
      <c r="B180" s="35"/>
      <c r="C180" s="35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</row>
    <row r="181">
      <c r="A181" s="35"/>
      <c r="B181" s="35"/>
      <c r="C181" s="35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</row>
    <row r="182">
      <c r="A182" s="35"/>
      <c r="B182" s="35"/>
      <c r="C182" s="35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</row>
    <row r="183">
      <c r="A183" s="35"/>
      <c r="B183" s="35"/>
      <c r="C183" s="35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</row>
    <row r="184">
      <c r="A184" s="35"/>
      <c r="B184" s="35"/>
      <c r="C184" s="35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</row>
    <row r="185">
      <c r="A185" s="35"/>
      <c r="B185" s="35"/>
      <c r="C185" s="35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</row>
    <row r="186">
      <c r="A186" s="35"/>
      <c r="B186" s="35"/>
      <c r="C186" s="35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</row>
    <row r="187">
      <c r="A187" s="35"/>
      <c r="B187" s="35"/>
      <c r="C187" s="35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</row>
    <row r="188">
      <c r="A188" s="35"/>
      <c r="B188" s="35"/>
      <c r="C188" s="35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</row>
    <row r="189">
      <c r="A189" s="35"/>
      <c r="B189" s="35"/>
      <c r="C189" s="35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</row>
    <row r="190">
      <c r="A190" s="35"/>
      <c r="B190" s="35"/>
      <c r="C190" s="35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</row>
    <row r="191">
      <c r="A191" s="35"/>
      <c r="B191" s="35"/>
      <c r="C191" s="35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</row>
    <row r="192">
      <c r="A192" s="35"/>
      <c r="B192" s="35"/>
      <c r="C192" s="35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</row>
    <row r="193">
      <c r="A193" s="35"/>
      <c r="B193" s="35"/>
      <c r="C193" s="35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</row>
    <row r="194">
      <c r="A194" s="35"/>
      <c r="B194" s="35"/>
      <c r="C194" s="35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</row>
    <row r="195">
      <c r="A195" s="35"/>
      <c r="B195" s="35"/>
      <c r="C195" s="35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</row>
    <row r="196">
      <c r="A196" s="35"/>
      <c r="B196" s="35"/>
      <c r="C196" s="35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</row>
    <row r="197">
      <c r="A197" s="35"/>
      <c r="B197" s="35"/>
      <c r="C197" s="35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</row>
    <row r="198">
      <c r="A198" s="35"/>
      <c r="B198" s="35"/>
      <c r="C198" s="35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</row>
    <row r="199">
      <c r="A199" s="35"/>
      <c r="B199" s="35"/>
      <c r="C199" s="35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</row>
    <row r="200">
      <c r="A200" s="35"/>
      <c r="B200" s="35"/>
      <c r="C200" s="35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</row>
    <row r="201">
      <c r="A201" s="35"/>
      <c r="B201" s="35"/>
      <c r="C201" s="35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</row>
    <row r="202">
      <c r="A202" s="35"/>
      <c r="B202" s="35"/>
      <c r="C202" s="35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</row>
    <row r="203">
      <c r="A203" s="35"/>
      <c r="B203" s="35"/>
      <c r="C203" s="35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</row>
    <row r="204">
      <c r="A204" s="35"/>
      <c r="B204" s="35"/>
      <c r="C204" s="35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</row>
    <row r="205">
      <c r="A205" s="35"/>
      <c r="B205" s="35"/>
      <c r="C205" s="35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</row>
    <row r="206">
      <c r="A206" s="35"/>
      <c r="B206" s="35"/>
      <c r="C206" s="35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</row>
    <row r="207">
      <c r="A207" s="35"/>
      <c r="B207" s="35"/>
      <c r="C207" s="35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</row>
    <row r="208">
      <c r="A208" s="35"/>
      <c r="B208" s="35"/>
      <c r="C208" s="35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</row>
    <row r="209">
      <c r="A209" s="35"/>
      <c r="B209" s="35"/>
      <c r="C209" s="35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</row>
    <row r="210">
      <c r="A210" s="35"/>
      <c r="B210" s="35"/>
      <c r="C210" s="35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</row>
    <row r="211">
      <c r="A211" s="35"/>
      <c r="B211" s="35"/>
      <c r="C211" s="35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</row>
    <row r="212">
      <c r="A212" s="35"/>
      <c r="B212" s="35"/>
      <c r="C212" s="35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</row>
    <row r="213">
      <c r="A213" s="35"/>
      <c r="B213" s="35"/>
      <c r="C213" s="35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</row>
    <row r="214">
      <c r="A214" s="35"/>
      <c r="B214" s="35"/>
      <c r="C214" s="35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</row>
    <row r="215">
      <c r="A215" s="35"/>
      <c r="B215" s="35"/>
      <c r="C215" s="35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</row>
    <row r="216">
      <c r="A216" s="35"/>
      <c r="B216" s="35"/>
      <c r="C216" s="35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</row>
    <row r="217">
      <c r="A217" s="35"/>
      <c r="B217" s="35"/>
      <c r="C217" s="35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</row>
    <row r="218">
      <c r="A218" s="35"/>
      <c r="B218" s="35"/>
      <c r="C218" s="35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</row>
    <row r="219">
      <c r="A219" s="35"/>
      <c r="B219" s="35"/>
      <c r="C219" s="35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</row>
    <row r="220">
      <c r="A220" s="35"/>
      <c r="B220" s="35"/>
      <c r="C220" s="35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</row>
    <row r="221">
      <c r="A221" s="35"/>
      <c r="B221" s="35"/>
      <c r="C221" s="35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</row>
    <row r="222">
      <c r="A222" s="35"/>
      <c r="B222" s="35"/>
      <c r="C222" s="35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</row>
    <row r="223">
      <c r="A223" s="35"/>
      <c r="B223" s="35"/>
      <c r="C223" s="35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</row>
    <row r="224">
      <c r="A224" s="35"/>
      <c r="B224" s="35"/>
      <c r="C224" s="35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</row>
    <row r="225">
      <c r="A225" s="35"/>
      <c r="B225" s="35"/>
      <c r="C225" s="35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</row>
    <row r="226">
      <c r="A226" s="35"/>
      <c r="B226" s="35"/>
      <c r="C226" s="35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</row>
    <row r="227">
      <c r="A227" s="35"/>
      <c r="B227" s="35"/>
      <c r="C227" s="35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</row>
    <row r="228">
      <c r="A228" s="35"/>
      <c r="B228" s="35"/>
      <c r="C228" s="35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</row>
    <row r="229">
      <c r="A229" s="35"/>
      <c r="B229" s="35"/>
      <c r="C229" s="35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</row>
    <row r="230">
      <c r="A230" s="35"/>
      <c r="B230" s="35"/>
      <c r="C230" s="35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</row>
    <row r="231">
      <c r="A231" s="35"/>
      <c r="B231" s="35"/>
      <c r="C231" s="35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</row>
    <row r="232">
      <c r="A232" s="35"/>
      <c r="B232" s="35"/>
      <c r="C232" s="35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</row>
    <row r="233">
      <c r="A233" s="35"/>
      <c r="B233" s="35"/>
      <c r="C233" s="35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</row>
    <row r="234">
      <c r="A234" s="35"/>
      <c r="B234" s="35"/>
      <c r="C234" s="35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</row>
    <row r="235">
      <c r="A235" s="35"/>
      <c r="B235" s="35"/>
      <c r="C235" s="35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</row>
    <row r="236">
      <c r="A236" s="35"/>
      <c r="B236" s="35"/>
      <c r="C236" s="35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</row>
    <row r="237">
      <c r="A237" s="35"/>
      <c r="B237" s="35"/>
      <c r="C237" s="35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</row>
    <row r="238">
      <c r="A238" s="35"/>
      <c r="B238" s="35"/>
      <c r="C238" s="35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</row>
    <row r="239">
      <c r="A239" s="35"/>
      <c r="B239" s="35"/>
      <c r="C239" s="35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</row>
    <row r="240">
      <c r="A240" s="35"/>
      <c r="B240" s="35"/>
      <c r="C240" s="35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</row>
    <row r="241">
      <c r="A241" s="35"/>
      <c r="B241" s="35"/>
      <c r="C241" s="35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</row>
    <row r="242">
      <c r="A242" s="35"/>
      <c r="B242" s="35"/>
      <c r="C242" s="35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</row>
    <row r="243">
      <c r="A243" s="35"/>
      <c r="B243" s="35"/>
      <c r="C243" s="35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</row>
    <row r="244">
      <c r="A244" s="35"/>
      <c r="B244" s="35"/>
      <c r="C244" s="35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</row>
    <row r="245">
      <c r="A245" s="35"/>
      <c r="B245" s="35"/>
      <c r="C245" s="35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</row>
    <row r="246">
      <c r="A246" s="35"/>
      <c r="B246" s="35"/>
      <c r="C246" s="35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</row>
    <row r="247">
      <c r="A247" s="35"/>
      <c r="B247" s="35"/>
      <c r="C247" s="35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</row>
    <row r="248">
      <c r="A248" s="35"/>
      <c r="B248" s="35"/>
      <c r="C248" s="35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</row>
    <row r="249">
      <c r="A249" s="35"/>
      <c r="B249" s="35"/>
      <c r="C249" s="35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</row>
    <row r="250">
      <c r="A250" s="35"/>
      <c r="B250" s="35"/>
      <c r="C250" s="35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</row>
    <row r="251">
      <c r="A251" s="35"/>
      <c r="B251" s="35"/>
      <c r="C251" s="35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</row>
    <row r="252">
      <c r="A252" s="35"/>
      <c r="B252" s="35"/>
      <c r="C252" s="35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</row>
    <row r="253">
      <c r="A253" s="35"/>
      <c r="B253" s="35"/>
      <c r="C253" s="35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</row>
    <row r="254">
      <c r="A254" s="35"/>
      <c r="B254" s="35"/>
      <c r="C254" s="35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</row>
    <row r="255">
      <c r="A255" s="35"/>
      <c r="B255" s="35"/>
      <c r="C255" s="35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</row>
    <row r="256">
      <c r="A256" s="35"/>
      <c r="B256" s="35"/>
      <c r="C256" s="35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</row>
    <row r="257">
      <c r="A257" s="35"/>
      <c r="B257" s="35"/>
      <c r="C257" s="35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</row>
    <row r="258">
      <c r="A258" s="35"/>
      <c r="B258" s="35"/>
      <c r="C258" s="35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</row>
    <row r="259">
      <c r="A259" s="35"/>
      <c r="B259" s="35"/>
      <c r="C259" s="35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</row>
    <row r="260">
      <c r="A260" s="35"/>
      <c r="B260" s="35"/>
      <c r="C260" s="35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</row>
    <row r="261">
      <c r="A261" s="35"/>
      <c r="B261" s="35"/>
      <c r="C261" s="35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</row>
    <row r="262">
      <c r="A262" s="35"/>
      <c r="B262" s="35"/>
      <c r="C262" s="35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</row>
    <row r="263">
      <c r="A263" s="35"/>
      <c r="B263" s="35"/>
      <c r="C263" s="35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</row>
    <row r="264">
      <c r="A264" s="35"/>
      <c r="B264" s="35"/>
      <c r="C264" s="35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</row>
    <row r="265">
      <c r="A265" s="35"/>
      <c r="B265" s="35"/>
      <c r="C265" s="35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</row>
    <row r="266">
      <c r="A266" s="35"/>
      <c r="B266" s="35"/>
      <c r="C266" s="35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</row>
    <row r="267">
      <c r="A267" s="35"/>
      <c r="B267" s="35"/>
      <c r="C267" s="35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</row>
    <row r="268">
      <c r="A268" s="35"/>
      <c r="B268" s="35"/>
      <c r="C268" s="35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</row>
    <row r="269">
      <c r="A269" s="35"/>
      <c r="B269" s="35"/>
      <c r="C269" s="35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</row>
    <row r="270">
      <c r="A270" s="35"/>
      <c r="B270" s="35"/>
      <c r="C270" s="35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</row>
    <row r="271">
      <c r="A271" s="35"/>
      <c r="B271" s="35"/>
      <c r="C271" s="35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</row>
    <row r="272">
      <c r="A272" s="35"/>
      <c r="B272" s="35"/>
      <c r="C272" s="35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</row>
    <row r="273">
      <c r="A273" s="35"/>
      <c r="B273" s="35"/>
      <c r="C273" s="35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</row>
    <row r="274">
      <c r="A274" s="35"/>
      <c r="B274" s="35"/>
      <c r="C274" s="35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</row>
    <row r="275">
      <c r="A275" s="35"/>
      <c r="B275" s="35"/>
      <c r="C275" s="35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</row>
    <row r="276">
      <c r="A276" s="35"/>
      <c r="B276" s="35"/>
      <c r="C276" s="35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</row>
    <row r="277">
      <c r="A277" s="35"/>
      <c r="B277" s="35"/>
      <c r="C277" s="35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</row>
    <row r="278">
      <c r="A278" s="35"/>
      <c r="B278" s="35"/>
      <c r="C278" s="35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</row>
    <row r="279">
      <c r="A279" s="35"/>
      <c r="B279" s="35"/>
      <c r="C279" s="35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</row>
    <row r="280">
      <c r="A280" s="35"/>
      <c r="B280" s="35"/>
      <c r="C280" s="35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</row>
    <row r="281">
      <c r="A281" s="35"/>
      <c r="B281" s="35"/>
      <c r="C281" s="35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</row>
    <row r="282">
      <c r="A282" s="35"/>
      <c r="B282" s="35"/>
      <c r="C282" s="35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</row>
    <row r="283">
      <c r="A283" s="35"/>
      <c r="B283" s="35"/>
      <c r="C283" s="35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</row>
    <row r="284">
      <c r="A284" s="35"/>
      <c r="B284" s="35"/>
      <c r="C284" s="35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</row>
    <row r="285">
      <c r="A285" s="35"/>
      <c r="B285" s="35"/>
      <c r="C285" s="35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</row>
    <row r="286">
      <c r="A286" s="35"/>
      <c r="B286" s="35"/>
      <c r="C286" s="35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</row>
    <row r="287">
      <c r="A287" s="35"/>
      <c r="B287" s="35"/>
      <c r="C287" s="35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</row>
    <row r="288">
      <c r="A288" s="35"/>
      <c r="B288" s="35"/>
      <c r="C288" s="35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</row>
    <row r="289">
      <c r="A289" s="35"/>
      <c r="B289" s="35"/>
      <c r="C289" s="35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</row>
    <row r="290">
      <c r="A290" s="35"/>
      <c r="B290" s="35"/>
      <c r="C290" s="35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</row>
    <row r="291">
      <c r="A291" s="35"/>
      <c r="B291" s="35"/>
      <c r="C291" s="35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</row>
    <row r="292">
      <c r="A292" s="35"/>
      <c r="B292" s="35"/>
      <c r="C292" s="35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</row>
    <row r="293">
      <c r="A293" s="35"/>
      <c r="B293" s="35"/>
      <c r="C293" s="35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</row>
    <row r="294">
      <c r="A294" s="35"/>
      <c r="B294" s="35"/>
      <c r="C294" s="35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</row>
    <row r="295">
      <c r="A295" s="35"/>
      <c r="B295" s="35"/>
      <c r="C295" s="35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</row>
    <row r="296">
      <c r="A296" s="35"/>
      <c r="B296" s="35"/>
      <c r="C296" s="35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</row>
    <row r="297">
      <c r="A297" s="35"/>
      <c r="B297" s="35"/>
      <c r="C297" s="35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</row>
    <row r="298">
      <c r="A298" s="35"/>
      <c r="B298" s="35"/>
      <c r="C298" s="35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</row>
    <row r="299">
      <c r="A299" s="35"/>
      <c r="B299" s="35"/>
      <c r="C299" s="35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</row>
    <row r="300">
      <c r="A300" s="35"/>
      <c r="B300" s="35"/>
      <c r="C300" s="35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</row>
    <row r="301">
      <c r="A301" s="35"/>
      <c r="B301" s="35"/>
      <c r="C301" s="35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</row>
    <row r="302">
      <c r="A302" s="35"/>
      <c r="B302" s="35"/>
      <c r="C302" s="35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</row>
    <row r="303">
      <c r="A303" s="35"/>
      <c r="B303" s="35"/>
      <c r="C303" s="35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</row>
    <row r="304">
      <c r="A304" s="35"/>
      <c r="B304" s="35"/>
      <c r="C304" s="35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</row>
    <row r="305">
      <c r="A305" s="35"/>
      <c r="B305" s="35"/>
      <c r="C305" s="35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</row>
    <row r="306">
      <c r="A306" s="35"/>
      <c r="B306" s="35"/>
      <c r="C306" s="35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</row>
    <row r="307">
      <c r="A307" s="35"/>
      <c r="B307" s="35"/>
      <c r="C307" s="35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</row>
    <row r="308">
      <c r="A308" s="35"/>
      <c r="B308" s="35"/>
      <c r="C308" s="35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</row>
    <row r="309">
      <c r="A309" s="35"/>
      <c r="B309" s="35"/>
      <c r="C309" s="35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</row>
    <row r="310">
      <c r="A310" s="35"/>
      <c r="B310" s="35"/>
      <c r="C310" s="35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</row>
    <row r="311">
      <c r="A311" s="35"/>
      <c r="B311" s="35"/>
      <c r="C311" s="35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</row>
    <row r="312">
      <c r="A312" s="35"/>
      <c r="B312" s="35"/>
      <c r="C312" s="35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</row>
    <row r="313">
      <c r="A313" s="35"/>
      <c r="B313" s="35"/>
      <c r="C313" s="35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</row>
    <row r="314">
      <c r="A314" s="35"/>
      <c r="B314" s="35"/>
      <c r="C314" s="35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</row>
    <row r="315">
      <c r="A315" s="35"/>
      <c r="B315" s="35"/>
      <c r="C315" s="35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</row>
    <row r="316">
      <c r="A316" s="35"/>
      <c r="B316" s="35"/>
      <c r="C316" s="35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</row>
    <row r="317">
      <c r="A317" s="35"/>
      <c r="B317" s="35"/>
      <c r="C317" s="35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</row>
    <row r="318">
      <c r="A318" s="35"/>
      <c r="B318" s="35"/>
      <c r="C318" s="35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</row>
    <row r="319">
      <c r="A319" s="35"/>
      <c r="B319" s="35"/>
      <c r="C319" s="35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</row>
    <row r="320">
      <c r="A320" s="35"/>
      <c r="B320" s="35"/>
      <c r="C320" s="35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</row>
    <row r="321">
      <c r="A321" s="35"/>
      <c r="B321" s="35"/>
      <c r="C321" s="35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</row>
    <row r="322">
      <c r="A322" s="35"/>
      <c r="B322" s="35"/>
      <c r="C322" s="35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</row>
    <row r="323">
      <c r="A323" s="35"/>
      <c r="B323" s="35"/>
      <c r="C323" s="35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</row>
    <row r="324">
      <c r="A324" s="35"/>
      <c r="B324" s="35"/>
      <c r="C324" s="35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</row>
    <row r="325">
      <c r="A325" s="35"/>
      <c r="B325" s="35"/>
      <c r="C325" s="35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</row>
    <row r="326">
      <c r="A326" s="35"/>
      <c r="B326" s="35"/>
      <c r="C326" s="35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</row>
    <row r="327">
      <c r="A327" s="35"/>
      <c r="B327" s="35"/>
      <c r="C327" s="35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</row>
    <row r="328">
      <c r="A328" s="35"/>
      <c r="B328" s="35"/>
      <c r="C328" s="35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</row>
    <row r="329">
      <c r="A329" s="35"/>
      <c r="B329" s="35"/>
      <c r="C329" s="35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</row>
    <row r="330">
      <c r="A330" s="35"/>
      <c r="B330" s="35"/>
      <c r="C330" s="35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</row>
    <row r="331">
      <c r="A331" s="35"/>
      <c r="B331" s="35"/>
      <c r="C331" s="35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</row>
    <row r="332">
      <c r="A332" s="35"/>
      <c r="B332" s="35"/>
      <c r="C332" s="35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</row>
    <row r="333">
      <c r="A333" s="35"/>
      <c r="B333" s="35"/>
      <c r="C333" s="35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</row>
    <row r="334">
      <c r="A334" s="35"/>
      <c r="B334" s="35"/>
      <c r="C334" s="35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</row>
    <row r="335">
      <c r="A335" s="35"/>
      <c r="B335" s="35"/>
      <c r="C335" s="35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</row>
    <row r="336">
      <c r="A336" s="35"/>
      <c r="B336" s="35"/>
      <c r="C336" s="35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</row>
    <row r="337">
      <c r="A337" s="35"/>
      <c r="B337" s="35"/>
      <c r="C337" s="35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</row>
    <row r="338">
      <c r="A338" s="35"/>
      <c r="B338" s="35"/>
      <c r="C338" s="35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</row>
    <row r="339">
      <c r="A339" s="35"/>
      <c r="B339" s="35"/>
      <c r="C339" s="35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</row>
    <row r="340">
      <c r="A340" s="35"/>
      <c r="B340" s="35"/>
      <c r="C340" s="35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</row>
    <row r="341">
      <c r="A341" s="35"/>
      <c r="B341" s="35"/>
      <c r="C341" s="35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</row>
    <row r="342">
      <c r="A342" s="35"/>
      <c r="B342" s="35"/>
      <c r="C342" s="35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</row>
    <row r="343">
      <c r="A343" s="35"/>
      <c r="B343" s="35"/>
      <c r="C343" s="35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</row>
    <row r="344">
      <c r="A344" s="35"/>
      <c r="B344" s="35"/>
      <c r="C344" s="35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</row>
    <row r="345">
      <c r="A345" s="35"/>
      <c r="B345" s="35"/>
      <c r="C345" s="35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</row>
    <row r="346">
      <c r="A346" s="35"/>
      <c r="B346" s="35"/>
      <c r="C346" s="35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</row>
    <row r="347">
      <c r="A347" s="35"/>
      <c r="B347" s="35"/>
      <c r="C347" s="35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</row>
    <row r="348">
      <c r="A348" s="35"/>
      <c r="B348" s="35"/>
      <c r="C348" s="35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</row>
    <row r="349">
      <c r="A349" s="35"/>
      <c r="B349" s="35"/>
      <c r="C349" s="35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</row>
    <row r="350">
      <c r="A350" s="35"/>
      <c r="B350" s="35"/>
      <c r="C350" s="35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</row>
    <row r="351">
      <c r="A351" s="35"/>
      <c r="B351" s="35"/>
      <c r="C351" s="35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</row>
    <row r="352">
      <c r="A352" s="35"/>
      <c r="B352" s="35"/>
      <c r="C352" s="35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</row>
    <row r="353">
      <c r="A353" s="35"/>
      <c r="B353" s="35"/>
      <c r="C353" s="35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</row>
    <row r="354">
      <c r="A354" s="35"/>
      <c r="B354" s="35"/>
      <c r="C354" s="35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</row>
    <row r="355">
      <c r="A355" s="35"/>
      <c r="B355" s="35"/>
      <c r="C355" s="35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</row>
    <row r="356">
      <c r="A356" s="35"/>
      <c r="B356" s="35"/>
      <c r="C356" s="35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</row>
    <row r="357">
      <c r="A357" s="35"/>
      <c r="B357" s="35"/>
      <c r="C357" s="35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</row>
    <row r="358">
      <c r="A358" s="35"/>
      <c r="B358" s="35"/>
      <c r="C358" s="35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</row>
    <row r="359">
      <c r="A359" s="35"/>
      <c r="B359" s="35"/>
      <c r="C359" s="35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</row>
    <row r="360">
      <c r="A360" s="35"/>
      <c r="B360" s="35"/>
      <c r="C360" s="35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</row>
    <row r="361">
      <c r="A361" s="35"/>
      <c r="B361" s="35"/>
      <c r="C361" s="35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</row>
    <row r="362">
      <c r="A362" s="35"/>
      <c r="B362" s="35"/>
      <c r="C362" s="35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</row>
    <row r="363">
      <c r="A363" s="35"/>
      <c r="B363" s="35"/>
      <c r="C363" s="35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</row>
    <row r="364">
      <c r="A364" s="35"/>
      <c r="B364" s="35"/>
      <c r="C364" s="35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</row>
    <row r="365">
      <c r="A365" s="35"/>
      <c r="B365" s="35"/>
      <c r="C365" s="35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</row>
    <row r="366">
      <c r="A366" s="35"/>
      <c r="B366" s="35"/>
      <c r="C366" s="35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</row>
    <row r="367">
      <c r="A367" s="35"/>
      <c r="B367" s="35"/>
      <c r="C367" s="35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</row>
    <row r="368">
      <c r="A368" s="35"/>
      <c r="B368" s="35"/>
      <c r="C368" s="35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</row>
    <row r="369">
      <c r="A369" s="35"/>
      <c r="B369" s="35"/>
      <c r="C369" s="35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</row>
    <row r="370">
      <c r="A370" s="35"/>
      <c r="B370" s="35"/>
      <c r="C370" s="35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</row>
    <row r="371">
      <c r="A371" s="35"/>
      <c r="B371" s="35"/>
      <c r="C371" s="35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</row>
    <row r="372">
      <c r="A372" s="35"/>
      <c r="B372" s="35"/>
      <c r="C372" s="35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</row>
    <row r="373">
      <c r="A373" s="35"/>
      <c r="B373" s="35"/>
      <c r="C373" s="35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</row>
    <row r="374">
      <c r="A374" s="35"/>
      <c r="B374" s="35"/>
      <c r="C374" s="35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</row>
    <row r="375">
      <c r="A375" s="35"/>
      <c r="B375" s="35"/>
      <c r="C375" s="35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</row>
    <row r="376">
      <c r="A376" s="35"/>
      <c r="B376" s="35"/>
      <c r="C376" s="35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</row>
    <row r="377">
      <c r="A377" s="35"/>
      <c r="B377" s="35"/>
      <c r="C377" s="35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</row>
    <row r="378">
      <c r="A378" s="35"/>
      <c r="B378" s="35"/>
      <c r="C378" s="35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</row>
    <row r="379">
      <c r="A379" s="35"/>
      <c r="B379" s="35"/>
      <c r="C379" s="35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</row>
    <row r="380">
      <c r="A380" s="35"/>
      <c r="B380" s="35"/>
      <c r="C380" s="35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</row>
    <row r="381">
      <c r="A381" s="35"/>
      <c r="B381" s="35"/>
      <c r="C381" s="35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</row>
    <row r="382">
      <c r="A382" s="35"/>
      <c r="B382" s="35"/>
      <c r="C382" s="35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</row>
    <row r="383">
      <c r="A383" s="35"/>
      <c r="B383" s="35"/>
      <c r="C383" s="35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</row>
    <row r="384">
      <c r="A384" s="35"/>
      <c r="B384" s="35"/>
      <c r="C384" s="35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</row>
    <row r="385">
      <c r="A385" s="35"/>
      <c r="B385" s="35"/>
      <c r="C385" s="35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</row>
    <row r="386">
      <c r="A386" s="35"/>
      <c r="B386" s="35"/>
      <c r="C386" s="35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</row>
    <row r="387">
      <c r="A387" s="35"/>
      <c r="B387" s="35"/>
      <c r="C387" s="35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</row>
    <row r="388">
      <c r="A388" s="35"/>
      <c r="B388" s="35"/>
      <c r="C388" s="35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</row>
    <row r="389">
      <c r="A389" s="35"/>
      <c r="B389" s="35"/>
      <c r="C389" s="35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</row>
    <row r="390">
      <c r="A390" s="35"/>
      <c r="B390" s="35"/>
      <c r="C390" s="35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</row>
    <row r="391">
      <c r="A391" s="35"/>
      <c r="B391" s="35"/>
      <c r="C391" s="35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</row>
    <row r="392">
      <c r="A392" s="35"/>
      <c r="B392" s="35"/>
      <c r="C392" s="35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</row>
    <row r="393">
      <c r="A393" s="35"/>
      <c r="B393" s="35"/>
      <c r="C393" s="35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</row>
    <row r="394">
      <c r="A394" s="35"/>
      <c r="B394" s="35"/>
      <c r="C394" s="35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</row>
    <row r="395">
      <c r="A395" s="35"/>
      <c r="B395" s="35"/>
      <c r="C395" s="35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</row>
    <row r="396">
      <c r="A396" s="35"/>
      <c r="B396" s="35"/>
      <c r="C396" s="35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</row>
    <row r="397">
      <c r="A397" s="35"/>
      <c r="B397" s="35"/>
      <c r="C397" s="35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</row>
    <row r="398">
      <c r="A398" s="35"/>
      <c r="B398" s="35"/>
      <c r="C398" s="35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</row>
    <row r="399">
      <c r="A399" s="35"/>
      <c r="B399" s="35"/>
      <c r="C399" s="35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</row>
    <row r="400">
      <c r="A400" s="35"/>
      <c r="B400" s="35"/>
      <c r="C400" s="35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</row>
    <row r="401">
      <c r="A401" s="35"/>
      <c r="B401" s="35"/>
      <c r="C401" s="35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</row>
    <row r="402">
      <c r="A402" s="35"/>
      <c r="B402" s="35"/>
      <c r="C402" s="35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</row>
    <row r="403">
      <c r="A403" s="35"/>
      <c r="B403" s="35"/>
      <c r="C403" s="35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</row>
    <row r="404">
      <c r="A404" s="35"/>
      <c r="B404" s="35"/>
      <c r="C404" s="35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</row>
    <row r="405">
      <c r="A405" s="35"/>
      <c r="B405" s="35"/>
      <c r="C405" s="35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</row>
    <row r="406">
      <c r="A406" s="35"/>
      <c r="B406" s="35"/>
      <c r="C406" s="35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</row>
    <row r="407">
      <c r="A407" s="35"/>
      <c r="B407" s="35"/>
      <c r="C407" s="35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</row>
    <row r="408">
      <c r="A408" s="35"/>
      <c r="B408" s="35"/>
      <c r="C408" s="35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</row>
    <row r="409">
      <c r="A409" s="35"/>
      <c r="B409" s="35"/>
      <c r="C409" s="35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</row>
    <row r="410">
      <c r="A410" s="35"/>
      <c r="B410" s="35"/>
      <c r="C410" s="35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</row>
    <row r="411">
      <c r="A411" s="35"/>
      <c r="B411" s="35"/>
      <c r="C411" s="35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</row>
    <row r="412">
      <c r="A412" s="35"/>
      <c r="B412" s="35"/>
      <c r="C412" s="35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</row>
    <row r="413">
      <c r="A413" s="35"/>
      <c r="B413" s="35"/>
      <c r="C413" s="35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</row>
    <row r="414">
      <c r="A414" s="35"/>
      <c r="B414" s="35"/>
      <c r="C414" s="35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</row>
    <row r="415">
      <c r="A415" s="35"/>
      <c r="B415" s="35"/>
      <c r="C415" s="35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</row>
    <row r="416">
      <c r="A416" s="35"/>
      <c r="B416" s="35"/>
      <c r="C416" s="35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</row>
    <row r="417">
      <c r="A417" s="35"/>
      <c r="B417" s="35"/>
      <c r="C417" s="35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</row>
    <row r="418">
      <c r="A418" s="35"/>
      <c r="B418" s="35"/>
      <c r="C418" s="35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</row>
    <row r="419">
      <c r="A419" s="35"/>
      <c r="B419" s="35"/>
      <c r="C419" s="35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</row>
    <row r="420">
      <c r="A420" s="35"/>
      <c r="B420" s="35"/>
      <c r="C420" s="35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</row>
    <row r="421">
      <c r="A421" s="35"/>
      <c r="B421" s="35"/>
      <c r="C421" s="35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</row>
    <row r="422">
      <c r="A422" s="35"/>
      <c r="B422" s="35"/>
      <c r="C422" s="35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</row>
    <row r="423">
      <c r="A423" s="35"/>
      <c r="B423" s="35"/>
      <c r="C423" s="35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</row>
    <row r="424">
      <c r="A424" s="35"/>
      <c r="B424" s="35"/>
      <c r="C424" s="35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</row>
    <row r="425">
      <c r="A425" s="35"/>
      <c r="B425" s="35"/>
      <c r="C425" s="35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</row>
    <row r="426">
      <c r="A426" s="35"/>
      <c r="B426" s="35"/>
      <c r="C426" s="35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</row>
    <row r="427">
      <c r="A427" s="35"/>
      <c r="B427" s="35"/>
      <c r="C427" s="35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</row>
    <row r="428">
      <c r="A428" s="35"/>
      <c r="B428" s="35"/>
      <c r="C428" s="35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</row>
    <row r="429">
      <c r="A429" s="35"/>
      <c r="B429" s="35"/>
      <c r="C429" s="35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</row>
    <row r="430">
      <c r="A430" s="35"/>
      <c r="B430" s="35"/>
      <c r="C430" s="35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</row>
    <row r="431">
      <c r="A431" s="35"/>
      <c r="B431" s="35"/>
      <c r="C431" s="35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</row>
    <row r="432">
      <c r="A432" s="35"/>
      <c r="B432" s="35"/>
      <c r="C432" s="35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</row>
    <row r="433">
      <c r="A433" s="35"/>
      <c r="B433" s="35"/>
      <c r="C433" s="35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</row>
    <row r="434">
      <c r="A434" s="35"/>
      <c r="B434" s="35"/>
      <c r="C434" s="35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</row>
    <row r="435">
      <c r="A435" s="35"/>
      <c r="B435" s="35"/>
      <c r="C435" s="35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</row>
    <row r="436">
      <c r="A436" s="35"/>
      <c r="B436" s="35"/>
      <c r="C436" s="35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</row>
    <row r="437">
      <c r="A437" s="35"/>
      <c r="B437" s="35"/>
      <c r="C437" s="35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</row>
    <row r="438">
      <c r="A438" s="35"/>
      <c r="B438" s="35"/>
      <c r="C438" s="35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</row>
    <row r="439">
      <c r="A439" s="35"/>
      <c r="B439" s="35"/>
      <c r="C439" s="35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</row>
    <row r="440">
      <c r="A440" s="35"/>
      <c r="B440" s="35"/>
      <c r="C440" s="35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</row>
    <row r="441">
      <c r="A441" s="35"/>
      <c r="B441" s="35"/>
      <c r="C441" s="35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</row>
    <row r="442">
      <c r="A442" s="35"/>
      <c r="B442" s="35"/>
      <c r="C442" s="35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</row>
    <row r="443">
      <c r="A443" s="35"/>
      <c r="B443" s="35"/>
      <c r="C443" s="35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</row>
    <row r="444">
      <c r="A444" s="35"/>
      <c r="B444" s="35"/>
      <c r="C444" s="35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</row>
    <row r="445">
      <c r="A445" s="35"/>
      <c r="B445" s="35"/>
      <c r="C445" s="35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</row>
    <row r="446">
      <c r="A446" s="35"/>
      <c r="B446" s="35"/>
      <c r="C446" s="35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</row>
    <row r="447">
      <c r="A447" s="35"/>
      <c r="B447" s="35"/>
      <c r="C447" s="35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</row>
    <row r="448">
      <c r="A448" s="35"/>
      <c r="B448" s="35"/>
      <c r="C448" s="35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</row>
    <row r="449">
      <c r="A449" s="35"/>
      <c r="B449" s="35"/>
      <c r="C449" s="35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</row>
    <row r="450">
      <c r="A450" s="35"/>
      <c r="B450" s="35"/>
      <c r="C450" s="35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</row>
    <row r="451">
      <c r="A451" s="35"/>
      <c r="B451" s="35"/>
      <c r="C451" s="35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</row>
    <row r="452">
      <c r="A452" s="35"/>
      <c r="B452" s="35"/>
      <c r="C452" s="35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</row>
    <row r="453">
      <c r="A453" s="35"/>
      <c r="B453" s="35"/>
      <c r="C453" s="35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</row>
    <row r="454">
      <c r="A454" s="35"/>
      <c r="B454" s="35"/>
      <c r="C454" s="35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</row>
    <row r="455">
      <c r="A455" s="35"/>
      <c r="B455" s="35"/>
      <c r="C455" s="35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</row>
    <row r="456">
      <c r="A456" s="35"/>
      <c r="B456" s="35"/>
      <c r="C456" s="35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</row>
    <row r="457">
      <c r="A457" s="35"/>
      <c r="B457" s="35"/>
      <c r="C457" s="35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</row>
    <row r="458">
      <c r="A458" s="35"/>
      <c r="B458" s="35"/>
      <c r="C458" s="35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</row>
    <row r="459">
      <c r="A459" s="35"/>
      <c r="B459" s="35"/>
      <c r="C459" s="35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</row>
    <row r="460">
      <c r="A460" s="35"/>
      <c r="B460" s="35"/>
      <c r="C460" s="35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</row>
    <row r="461">
      <c r="A461" s="35"/>
      <c r="B461" s="35"/>
      <c r="C461" s="35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</row>
    <row r="462">
      <c r="A462" s="35"/>
      <c r="B462" s="35"/>
      <c r="C462" s="35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</row>
    <row r="463">
      <c r="A463" s="35"/>
      <c r="B463" s="35"/>
      <c r="C463" s="35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</row>
    <row r="464">
      <c r="A464" s="35"/>
      <c r="B464" s="35"/>
      <c r="C464" s="35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</row>
    <row r="465">
      <c r="A465" s="35"/>
      <c r="B465" s="35"/>
      <c r="C465" s="35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</row>
    <row r="466">
      <c r="A466" s="35"/>
      <c r="B466" s="35"/>
      <c r="C466" s="35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</row>
    <row r="467">
      <c r="A467" s="35"/>
      <c r="B467" s="35"/>
      <c r="C467" s="35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</row>
    <row r="468">
      <c r="A468" s="35"/>
      <c r="B468" s="35"/>
      <c r="C468" s="35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</row>
    <row r="469">
      <c r="A469" s="35"/>
      <c r="B469" s="35"/>
      <c r="C469" s="35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</row>
    <row r="470">
      <c r="A470" s="35"/>
      <c r="B470" s="35"/>
      <c r="C470" s="35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</row>
    <row r="471">
      <c r="A471" s="35"/>
      <c r="B471" s="35"/>
      <c r="C471" s="35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</row>
    <row r="472">
      <c r="A472" s="35"/>
      <c r="B472" s="35"/>
      <c r="C472" s="35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</row>
    <row r="473">
      <c r="A473" s="35"/>
      <c r="B473" s="35"/>
      <c r="C473" s="35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</row>
    <row r="474">
      <c r="A474" s="35"/>
      <c r="B474" s="35"/>
      <c r="C474" s="35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</row>
    <row r="475">
      <c r="A475" s="35"/>
      <c r="B475" s="35"/>
      <c r="C475" s="35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</row>
    <row r="476">
      <c r="A476" s="35"/>
      <c r="B476" s="35"/>
      <c r="C476" s="35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</row>
    <row r="477">
      <c r="A477" s="35"/>
      <c r="B477" s="35"/>
      <c r="C477" s="35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</row>
    <row r="478">
      <c r="A478" s="35"/>
      <c r="B478" s="35"/>
      <c r="C478" s="35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</row>
    <row r="479">
      <c r="A479" s="35"/>
      <c r="B479" s="35"/>
      <c r="C479" s="35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</row>
    <row r="480">
      <c r="A480" s="35"/>
      <c r="B480" s="35"/>
      <c r="C480" s="35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</row>
    <row r="481">
      <c r="A481" s="35"/>
      <c r="B481" s="35"/>
      <c r="C481" s="35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</row>
    <row r="482">
      <c r="A482" s="35"/>
      <c r="B482" s="35"/>
      <c r="C482" s="35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</row>
    <row r="483">
      <c r="A483" s="35"/>
      <c r="B483" s="35"/>
      <c r="C483" s="35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</row>
    <row r="484">
      <c r="A484" s="35"/>
      <c r="B484" s="35"/>
      <c r="C484" s="35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</row>
    <row r="485">
      <c r="A485" s="35"/>
      <c r="B485" s="35"/>
      <c r="C485" s="35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</row>
    <row r="486">
      <c r="A486" s="35"/>
      <c r="B486" s="35"/>
      <c r="C486" s="35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</row>
    <row r="487">
      <c r="A487" s="35"/>
      <c r="B487" s="35"/>
      <c r="C487" s="35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</row>
    <row r="488">
      <c r="A488" s="35"/>
      <c r="B488" s="35"/>
      <c r="C488" s="35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</row>
    <row r="489">
      <c r="A489" s="35"/>
      <c r="B489" s="35"/>
      <c r="C489" s="35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</row>
    <row r="490">
      <c r="A490" s="35"/>
      <c r="B490" s="35"/>
      <c r="C490" s="35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</row>
    <row r="491">
      <c r="A491" s="35"/>
      <c r="B491" s="35"/>
      <c r="C491" s="35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</row>
    <row r="492">
      <c r="A492" s="35"/>
      <c r="B492" s="35"/>
      <c r="C492" s="35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</row>
    <row r="493">
      <c r="A493" s="35"/>
      <c r="B493" s="35"/>
      <c r="C493" s="35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</row>
    <row r="494">
      <c r="A494" s="35"/>
      <c r="B494" s="35"/>
      <c r="C494" s="35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</row>
    <row r="495">
      <c r="A495" s="35"/>
      <c r="B495" s="35"/>
      <c r="C495" s="35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</row>
    <row r="496">
      <c r="A496" s="35"/>
      <c r="B496" s="35"/>
      <c r="C496" s="35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</row>
    <row r="497">
      <c r="A497" s="35"/>
      <c r="B497" s="35"/>
      <c r="C497" s="35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</row>
    <row r="498">
      <c r="A498" s="35"/>
      <c r="B498" s="35"/>
      <c r="C498" s="35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</row>
    <row r="499">
      <c r="A499" s="35"/>
      <c r="B499" s="35"/>
      <c r="C499" s="35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</row>
    <row r="500">
      <c r="A500" s="35"/>
      <c r="B500" s="35"/>
      <c r="C500" s="35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</row>
    <row r="501">
      <c r="A501" s="35"/>
      <c r="B501" s="35"/>
      <c r="C501" s="35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</row>
    <row r="502">
      <c r="A502" s="35"/>
      <c r="B502" s="35"/>
      <c r="C502" s="35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</row>
    <row r="503">
      <c r="A503" s="35"/>
      <c r="B503" s="35"/>
      <c r="C503" s="35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</row>
    <row r="504">
      <c r="A504" s="35"/>
      <c r="B504" s="35"/>
      <c r="C504" s="35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</row>
    <row r="505">
      <c r="A505" s="35"/>
      <c r="B505" s="35"/>
      <c r="C505" s="35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</row>
    <row r="506">
      <c r="A506" s="35"/>
      <c r="B506" s="35"/>
      <c r="C506" s="35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</row>
    <row r="507">
      <c r="A507" s="35"/>
      <c r="B507" s="35"/>
      <c r="C507" s="35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</row>
    <row r="508">
      <c r="A508" s="35"/>
      <c r="B508" s="35"/>
      <c r="C508" s="35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</row>
    <row r="509">
      <c r="A509" s="35"/>
      <c r="B509" s="35"/>
      <c r="C509" s="35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</row>
    <row r="510">
      <c r="A510" s="35"/>
      <c r="B510" s="35"/>
      <c r="C510" s="35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</row>
    <row r="511">
      <c r="A511" s="35"/>
      <c r="B511" s="35"/>
      <c r="C511" s="35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</row>
    <row r="512">
      <c r="A512" s="35"/>
      <c r="B512" s="35"/>
      <c r="C512" s="35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</row>
    <row r="513">
      <c r="A513" s="35"/>
      <c r="B513" s="35"/>
      <c r="C513" s="35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</row>
    <row r="514">
      <c r="A514" s="35"/>
      <c r="B514" s="35"/>
      <c r="C514" s="35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</row>
    <row r="515">
      <c r="A515" s="35"/>
      <c r="B515" s="35"/>
      <c r="C515" s="35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</row>
    <row r="516">
      <c r="A516" s="35"/>
      <c r="B516" s="35"/>
      <c r="C516" s="35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</row>
    <row r="517">
      <c r="A517" s="35"/>
      <c r="B517" s="35"/>
      <c r="C517" s="35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</row>
    <row r="518">
      <c r="A518" s="35"/>
      <c r="B518" s="35"/>
      <c r="C518" s="35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</row>
    <row r="519">
      <c r="A519" s="35"/>
      <c r="B519" s="35"/>
      <c r="C519" s="35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</row>
    <row r="520">
      <c r="A520" s="35"/>
      <c r="B520" s="35"/>
      <c r="C520" s="35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</row>
    <row r="521">
      <c r="A521" s="35"/>
      <c r="B521" s="35"/>
      <c r="C521" s="35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</row>
    <row r="522">
      <c r="A522" s="35"/>
      <c r="B522" s="35"/>
      <c r="C522" s="35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</row>
    <row r="523">
      <c r="A523" s="35"/>
      <c r="B523" s="35"/>
      <c r="C523" s="35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</row>
    <row r="524">
      <c r="A524" s="35"/>
      <c r="B524" s="35"/>
      <c r="C524" s="35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</row>
    <row r="525">
      <c r="A525" s="35"/>
      <c r="B525" s="35"/>
      <c r="C525" s="35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</row>
    <row r="526">
      <c r="A526" s="35"/>
      <c r="B526" s="35"/>
      <c r="C526" s="35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</row>
    <row r="527">
      <c r="A527" s="35"/>
      <c r="B527" s="35"/>
      <c r="C527" s="35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</row>
    <row r="528">
      <c r="A528" s="35"/>
      <c r="B528" s="35"/>
      <c r="C528" s="35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</row>
    <row r="529">
      <c r="A529" s="35"/>
      <c r="B529" s="35"/>
      <c r="C529" s="35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</row>
    <row r="530">
      <c r="A530" s="35"/>
      <c r="B530" s="35"/>
      <c r="C530" s="35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</row>
    <row r="531">
      <c r="A531" s="35"/>
      <c r="B531" s="35"/>
      <c r="C531" s="35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</row>
    <row r="532">
      <c r="A532" s="35"/>
      <c r="B532" s="35"/>
      <c r="C532" s="35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</row>
    <row r="533">
      <c r="A533" s="35"/>
      <c r="B533" s="35"/>
      <c r="C533" s="35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</row>
    <row r="534">
      <c r="A534" s="35"/>
      <c r="B534" s="35"/>
      <c r="C534" s="35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</row>
    <row r="535">
      <c r="A535" s="35"/>
      <c r="B535" s="35"/>
      <c r="C535" s="35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</row>
    <row r="536">
      <c r="A536" s="35"/>
      <c r="B536" s="35"/>
      <c r="C536" s="35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</row>
    <row r="537">
      <c r="A537" s="35"/>
      <c r="B537" s="35"/>
      <c r="C537" s="35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</row>
    <row r="538">
      <c r="A538" s="35"/>
      <c r="B538" s="35"/>
      <c r="C538" s="35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</row>
    <row r="539">
      <c r="A539" s="35"/>
      <c r="B539" s="35"/>
      <c r="C539" s="35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</row>
    <row r="540">
      <c r="A540" s="35"/>
      <c r="B540" s="35"/>
      <c r="C540" s="35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</row>
    <row r="541">
      <c r="A541" s="35"/>
      <c r="B541" s="35"/>
      <c r="C541" s="35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</row>
    <row r="542">
      <c r="A542" s="35"/>
      <c r="B542" s="35"/>
      <c r="C542" s="35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</row>
    <row r="543">
      <c r="A543" s="35"/>
      <c r="B543" s="35"/>
      <c r="C543" s="35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</row>
    <row r="544">
      <c r="A544" s="35"/>
      <c r="B544" s="35"/>
      <c r="C544" s="35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</row>
    <row r="545">
      <c r="A545" s="35"/>
      <c r="B545" s="35"/>
      <c r="C545" s="35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</row>
    <row r="546">
      <c r="A546" s="35"/>
      <c r="B546" s="35"/>
      <c r="C546" s="35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</row>
    <row r="547">
      <c r="A547" s="35"/>
      <c r="B547" s="35"/>
      <c r="C547" s="35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</row>
    <row r="548">
      <c r="A548" s="35"/>
      <c r="B548" s="35"/>
      <c r="C548" s="35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</row>
    <row r="549">
      <c r="A549" s="35"/>
      <c r="B549" s="35"/>
      <c r="C549" s="35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</row>
    <row r="550">
      <c r="A550" s="35"/>
      <c r="B550" s="35"/>
      <c r="C550" s="35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</row>
    <row r="551">
      <c r="A551" s="35"/>
      <c r="B551" s="35"/>
      <c r="C551" s="35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</row>
    <row r="552">
      <c r="A552" s="35"/>
      <c r="B552" s="35"/>
      <c r="C552" s="35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</row>
    <row r="553">
      <c r="A553" s="35"/>
      <c r="B553" s="35"/>
      <c r="C553" s="35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</row>
    <row r="554">
      <c r="A554" s="35"/>
      <c r="B554" s="35"/>
      <c r="C554" s="35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</row>
    <row r="555">
      <c r="A555" s="35"/>
      <c r="B555" s="35"/>
      <c r="C555" s="35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</row>
    <row r="556">
      <c r="A556" s="35"/>
      <c r="B556" s="35"/>
      <c r="C556" s="35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</row>
    <row r="557">
      <c r="A557" s="35"/>
      <c r="B557" s="35"/>
      <c r="C557" s="35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</row>
    <row r="558">
      <c r="A558" s="35"/>
      <c r="B558" s="35"/>
      <c r="C558" s="35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</row>
    <row r="559">
      <c r="A559" s="35"/>
      <c r="B559" s="35"/>
      <c r="C559" s="35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</row>
    <row r="560">
      <c r="A560" s="35"/>
      <c r="B560" s="35"/>
      <c r="C560" s="35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</row>
    <row r="561">
      <c r="A561" s="35"/>
      <c r="B561" s="35"/>
      <c r="C561" s="35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</row>
    <row r="562">
      <c r="A562" s="35"/>
      <c r="B562" s="35"/>
      <c r="C562" s="35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</row>
    <row r="563">
      <c r="A563" s="35"/>
      <c r="B563" s="35"/>
      <c r="C563" s="35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</row>
    <row r="564">
      <c r="A564" s="35"/>
      <c r="B564" s="35"/>
      <c r="C564" s="35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</row>
    <row r="565">
      <c r="A565" s="35"/>
      <c r="B565" s="35"/>
      <c r="C565" s="35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</row>
    <row r="566">
      <c r="A566" s="35"/>
      <c r="B566" s="35"/>
      <c r="C566" s="35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</row>
    <row r="567">
      <c r="A567" s="35"/>
      <c r="B567" s="35"/>
      <c r="C567" s="35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</row>
    <row r="568">
      <c r="A568" s="35"/>
      <c r="B568" s="35"/>
      <c r="C568" s="35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</row>
    <row r="569">
      <c r="A569" s="35"/>
      <c r="B569" s="35"/>
      <c r="C569" s="35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</row>
    <row r="570">
      <c r="A570" s="35"/>
      <c r="B570" s="35"/>
      <c r="C570" s="35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</row>
    <row r="571">
      <c r="A571" s="35"/>
      <c r="B571" s="35"/>
      <c r="C571" s="35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</row>
    <row r="572">
      <c r="A572" s="35"/>
      <c r="B572" s="35"/>
      <c r="C572" s="35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</row>
    <row r="573">
      <c r="A573" s="35"/>
      <c r="B573" s="35"/>
      <c r="C573" s="35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</row>
    <row r="574">
      <c r="A574" s="35"/>
      <c r="B574" s="35"/>
      <c r="C574" s="35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</row>
    <row r="575">
      <c r="A575" s="35"/>
      <c r="B575" s="35"/>
      <c r="C575" s="35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</row>
    <row r="576">
      <c r="A576" s="35"/>
      <c r="B576" s="35"/>
      <c r="C576" s="35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</row>
    <row r="577">
      <c r="A577" s="35"/>
      <c r="B577" s="35"/>
      <c r="C577" s="35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</row>
    <row r="578">
      <c r="A578" s="35"/>
      <c r="B578" s="35"/>
      <c r="C578" s="35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</row>
    <row r="579">
      <c r="A579" s="35"/>
      <c r="B579" s="35"/>
      <c r="C579" s="35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</row>
    <row r="580">
      <c r="A580" s="35"/>
      <c r="B580" s="35"/>
      <c r="C580" s="35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</row>
    <row r="581">
      <c r="A581" s="35"/>
      <c r="B581" s="35"/>
      <c r="C581" s="35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</row>
    <row r="582">
      <c r="A582" s="35"/>
      <c r="B582" s="35"/>
      <c r="C582" s="35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</row>
    <row r="583">
      <c r="A583" s="35"/>
      <c r="B583" s="35"/>
      <c r="C583" s="35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</row>
    <row r="584">
      <c r="A584" s="35"/>
      <c r="B584" s="35"/>
      <c r="C584" s="35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</row>
    <row r="585">
      <c r="A585" s="35"/>
      <c r="B585" s="35"/>
      <c r="C585" s="35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</row>
    <row r="586">
      <c r="A586" s="35"/>
      <c r="B586" s="35"/>
      <c r="C586" s="35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</row>
    <row r="587">
      <c r="A587" s="35"/>
      <c r="B587" s="35"/>
      <c r="C587" s="35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</row>
    <row r="588">
      <c r="A588" s="35"/>
      <c r="B588" s="35"/>
      <c r="C588" s="35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</row>
    <row r="589">
      <c r="A589" s="35"/>
      <c r="B589" s="35"/>
      <c r="C589" s="35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</row>
    <row r="590">
      <c r="A590" s="35"/>
      <c r="B590" s="35"/>
      <c r="C590" s="35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</row>
    <row r="591">
      <c r="A591" s="35"/>
      <c r="B591" s="35"/>
      <c r="C591" s="35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</row>
    <row r="592">
      <c r="A592" s="35"/>
      <c r="B592" s="35"/>
      <c r="C592" s="35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</row>
    <row r="593">
      <c r="A593" s="35"/>
      <c r="B593" s="35"/>
      <c r="C593" s="35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</row>
    <row r="594">
      <c r="A594" s="35"/>
      <c r="B594" s="35"/>
      <c r="C594" s="35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</row>
    <row r="595">
      <c r="A595" s="35"/>
      <c r="B595" s="35"/>
      <c r="C595" s="35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</row>
    <row r="596">
      <c r="A596" s="35"/>
      <c r="B596" s="35"/>
      <c r="C596" s="35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</row>
    <row r="597">
      <c r="A597" s="35"/>
      <c r="B597" s="35"/>
      <c r="C597" s="35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</row>
    <row r="598">
      <c r="A598" s="35"/>
      <c r="B598" s="35"/>
      <c r="C598" s="35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</row>
    <row r="599">
      <c r="A599" s="35"/>
      <c r="B599" s="35"/>
      <c r="C599" s="35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</row>
    <row r="600">
      <c r="A600" s="35"/>
      <c r="B600" s="35"/>
      <c r="C600" s="35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</row>
    <row r="601">
      <c r="A601" s="35"/>
      <c r="B601" s="35"/>
      <c r="C601" s="35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</row>
    <row r="602">
      <c r="A602" s="35"/>
      <c r="B602" s="35"/>
      <c r="C602" s="35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</row>
    <row r="603">
      <c r="A603" s="35"/>
      <c r="B603" s="35"/>
      <c r="C603" s="35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</row>
    <row r="604">
      <c r="A604" s="35"/>
      <c r="B604" s="35"/>
      <c r="C604" s="35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</row>
    <row r="605">
      <c r="A605" s="35"/>
      <c r="B605" s="35"/>
      <c r="C605" s="35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</row>
    <row r="606">
      <c r="A606" s="35"/>
      <c r="B606" s="35"/>
      <c r="C606" s="35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</row>
    <row r="607">
      <c r="A607" s="35"/>
      <c r="B607" s="35"/>
      <c r="C607" s="35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</row>
    <row r="608">
      <c r="A608" s="35"/>
      <c r="B608" s="35"/>
      <c r="C608" s="35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</row>
    <row r="609">
      <c r="A609" s="35"/>
      <c r="B609" s="35"/>
      <c r="C609" s="35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</row>
    <row r="610">
      <c r="A610" s="35"/>
      <c r="B610" s="35"/>
      <c r="C610" s="35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</row>
    <row r="611">
      <c r="A611" s="35"/>
      <c r="B611" s="35"/>
      <c r="C611" s="35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</row>
    <row r="612">
      <c r="A612" s="35"/>
      <c r="B612" s="35"/>
      <c r="C612" s="35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</row>
    <row r="613">
      <c r="A613" s="35"/>
      <c r="B613" s="35"/>
      <c r="C613" s="35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</row>
    <row r="614">
      <c r="A614" s="35"/>
      <c r="B614" s="35"/>
      <c r="C614" s="35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</row>
    <row r="615">
      <c r="A615" s="35"/>
      <c r="B615" s="35"/>
      <c r="C615" s="35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</row>
    <row r="616">
      <c r="A616" s="35"/>
      <c r="B616" s="35"/>
      <c r="C616" s="35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</row>
    <row r="617">
      <c r="A617" s="35"/>
      <c r="B617" s="35"/>
      <c r="C617" s="35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</row>
    <row r="618">
      <c r="A618" s="35"/>
      <c r="B618" s="35"/>
      <c r="C618" s="35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</row>
    <row r="619">
      <c r="A619" s="35"/>
      <c r="B619" s="35"/>
      <c r="C619" s="35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</row>
    <row r="620">
      <c r="A620" s="35"/>
      <c r="B620" s="35"/>
      <c r="C620" s="35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</row>
    <row r="621">
      <c r="A621" s="35"/>
      <c r="B621" s="35"/>
      <c r="C621" s="35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</row>
    <row r="622">
      <c r="A622" s="35"/>
      <c r="B622" s="35"/>
      <c r="C622" s="35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</row>
    <row r="623">
      <c r="A623" s="35"/>
      <c r="B623" s="35"/>
      <c r="C623" s="35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</row>
    <row r="624">
      <c r="A624" s="35"/>
      <c r="B624" s="35"/>
      <c r="C624" s="35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</row>
    <row r="625">
      <c r="A625" s="35"/>
      <c r="B625" s="35"/>
      <c r="C625" s="35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</row>
    <row r="626">
      <c r="A626" s="35"/>
      <c r="B626" s="35"/>
      <c r="C626" s="35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</row>
    <row r="627">
      <c r="A627" s="35"/>
      <c r="B627" s="35"/>
      <c r="C627" s="35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</row>
    <row r="628">
      <c r="A628" s="35"/>
      <c r="B628" s="35"/>
      <c r="C628" s="35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</row>
    <row r="629">
      <c r="A629" s="35"/>
      <c r="B629" s="35"/>
      <c r="C629" s="35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</row>
    <row r="630">
      <c r="A630" s="35"/>
      <c r="B630" s="35"/>
      <c r="C630" s="35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</row>
    <row r="631">
      <c r="A631" s="35"/>
      <c r="B631" s="35"/>
      <c r="C631" s="35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</row>
    <row r="632">
      <c r="A632" s="35"/>
      <c r="B632" s="35"/>
      <c r="C632" s="35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</row>
    <row r="633">
      <c r="A633" s="35"/>
      <c r="B633" s="35"/>
      <c r="C633" s="35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</row>
    <row r="634">
      <c r="A634" s="35"/>
      <c r="B634" s="35"/>
      <c r="C634" s="35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</row>
    <row r="635">
      <c r="A635" s="35"/>
      <c r="B635" s="35"/>
      <c r="C635" s="35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</row>
    <row r="636">
      <c r="A636" s="35"/>
      <c r="B636" s="35"/>
      <c r="C636" s="35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</row>
    <row r="637">
      <c r="A637" s="35"/>
      <c r="B637" s="35"/>
      <c r="C637" s="35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</row>
    <row r="638">
      <c r="A638" s="35"/>
      <c r="B638" s="35"/>
      <c r="C638" s="35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</row>
    <row r="639">
      <c r="A639" s="35"/>
      <c r="B639" s="35"/>
      <c r="C639" s="35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</row>
    <row r="640">
      <c r="A640" s="35"/>
      <c r="B640" s="35"/>
      <c r="C640" s="35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</row>
    <row r="641">
      <c r="A641" s="35"/>
      <c r="B641" s="35"/>
      <c r="C641" s="35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</row>
    <row r="642">
      <c r="A642" s="35"/>
      <c r="B642" s="35"/>
      <c r="C642" s="35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</row>
    <row r="643">
      <c r="A643" s="35"/>
      <c r="B643" s="35"/>
      <c r="C643" s="35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</row>
    <row r="644">
      <c r="A644" s="35"/>
      <c r="B644" s="35"/>
      <c r="C644" s="35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</row>
    <row r="645">
      <c r="A645" s="35"/>
      <c r="B645" s="35"/>
      <c r="C645" s="35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</row>
    <row r="646">
      <c r="A646" s="35"/>
      <c r="B646" s="35"/>
      <c r="C646" s="35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</row>
    <row r="647">
      <c r="A647" s="35"/>
      <c r="B647" s="35"/>
      <c r="C647" s="35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</row>
    <row r="648">
      <c r="A648" s="35"/>
      <c r="B648" s="35"/>
      <c r="C648" s="35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</row>
    <row r="649">
      <c r="A649" s="35"/>
      <c r="B649" s="35"/>
      <c r="C649" s="35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</row>
    <row r="650">
      <c r="A650" s="35"/>
      <c r="B650" s="35"/>
      <c r="C650" s="35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</row>
    <row r="651">
      <c r="A651" s="35"/>
      <c r="B651" s="35"/>
      <c r="C651" s="35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</row>
    <row r="652">
      <c r="A652" s="35"/>
      <c r="B652" s="35"/>
      <c r="C652" s="35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</row>
    <row r="653">
      <c r="A653" s="35"/>
      <c r="B653" s="35"/>
      <c r="C653" s="35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</row>
    <row r="654">
      <c r="A654" s="35"/>
      <c r="B654" s="35"/>
      <c r="C654" s="35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</row>
    <row r="655">
      <c r="A655" s="35"/>
      <c r="B655" s="35"/>
      <c r="C655" s="35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</row>
    <row r="656">
      <c r="A656" s="35"/>
      <c r="B656" s="35"/>
      <c r="C656" s="35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</row>
    <row r="657">
      <c r="A657" s="35"/>
      <c r="B657" s="35"/>
      <c r="C657" s="35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</row>
    <row r="658">
      <c r="A658" s="35"/>
      <c r="B658" s="35"/>
      <c r="C658" s="35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</row>
    <row r="659">
      <c r="A659" s="35"/>
      <c r="B659" s="35"/>
      <c r="C659" s="35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</row>
    <row r="660">
      <c r="A660" s="35"/>
      <c r="B660" s="35"/>
      <c r="C660" s="35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</row>
    <row r="661">
      <c r="A661" s="35"/>
      <c r="B661" s="35"/>
      <c r="C661" s="35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</row>
    <row r="662">
      <c r="A662" s="35"/>
      <c r="B662" s="35"/>
      <c r="C662" s="35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</row>
    <row r="663">
      <c r="A663" s="35"/>
      <c r="B663" s="35"/>
      <c r="C663" s="35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</row>
    <row r="664">
      <c r="A664" s="35"/>
      <c r="B664" s="35"/>
      <c r="C664" s="35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</row>
    <row r="665">
      <c r="A665" s="35"/>
      <c r="B665" s="35"/>
      <c r="C665" s="35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</row>
    <row r="666">
      <c r="A666" s="35"/>
      <c r="B666" s="35"/>
      <c r="C666" s="35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</row>
    <row r="667">
      <c r="A667" s="35"/>
      <c r="B667" s="35"/>
      <c r="C667" s="35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</row>
    <row r="668">
      <c r="A668" s="35"/>
      <c r="B668" s="35"/>
      <c r="C668" s="35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</row>
    <row r="669">
      <c r="A669" s="35"/>
      <c r="B669" s="35"/>
      <c r="C669" s="35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</row>
    <row r="670">
      <c r="A670" s="35"/>
      <c r="B670" s="35"/>
      <c r="C670" s="35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</row>
    <row r="671">
      <c r="A671" s="35"/>
      <c r="B671" s="35"/>
      <c r="C671" s="35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</row>
    <row r="672">
      <c r="A672" s="35"/>
      <c r="B672" s="35"/>
      <c r="C672" s="35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</row>
    <row r="673">
      <c r="A673" s="35"/>
      <c r="B673" s="35"/>
      <c r="C673" s="35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</row>
    <row r="674">
      <c r="A674" s="35"/>
      <c r="B674" s="35"/>
      <c r="C674" s="35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</row>
    <row r="675">
      <c r="A675" s="35"/>
      <c r="B675" s="35"/>
      <c r="C675" s="35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</row>
    <row r="676">
      <c r="A676" s="35"/>
      <c r="B676" s="35"/>
      <c r="C676" s="35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</row>
    <row r="677">
      <c r="A677" s="35"/>
      <c r="B677" s="35"/>
      <c r="C677" s="35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</row>
    <row r="678">
      <c r="A678" s="35"/>
      <c r="B678" s="35"/>
      <c r="C678" s="35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</row>
    <row r="679">
      <c r="A679" s="35"/>
      <c r="B679" s="35"/>
      <c r="C679" s="35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</row>
    <row r="680">
      <c r="A680" s="35"/>
      <c r="B680" s="35"/>
      <c r="C680" s="35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</row>
    <row r="681">
      <c r="A681" s="35"/>
      <c r="B681" s="35"/>
      <c r="C681" s="35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</row>
    <row r="682">
      <c r="A682" s="35"/>
      <c r="B682" s="35"/>
      <c r="C682" s="35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</row>
    <row r="683">
      <c r="A683" s="35"/>
      <c r="B683" s="35"/>
      <c r="C683" s="35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</row>
    <row r="684">
      <c r="A684" s="35"/>
      <c r="B684" s="35"/>
      <c r="C684" s="35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</row>
    <row r="685">
      <c r="A685" s="35"/>
      <c r="B685" s="35"/>
      <c r="C685" s="35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</row>
    <row r="686">
      <c r="A686" s="35"/>
      <c r="B686" s="35"/>
      <c r="C686" s="35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</row>
    <row r="687">
      <c r="A687" s="35"/>
      <c r="B687" s="35"/>
      <c r="C687" s="35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</row>
    <row r="688">
      <c r="A688" s="35"/>
      <c r="B688" s="35"/>
      <c r="C688" s="35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</row>
    <row r="689">
      <c r="A689" s="35"/>
      <c r="B689" s="35"/>
      <c r="C689" s="35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</row>
    <row r="690">
      <c r="A690" s="35"/>
      <c r="B690" s="35"/>
      <c r="C690" s="35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</row>
    <row r="691">
      <c r="A691" s="35"/>
      <c r="B691" s="35"/>
      <c r="C691" s="35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</row>
    <row r="692">
      <c r="A692" s="35"/>
      <c r="B692" s="35"/>
      <c r="C692" s="35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</row>
    <row r="693">
      <c r="A693" s="35"/>
      <c r="B693" s="35"/>
      <c r="C693" s="35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</row>
    <row r="694">
      <c r="A694" s="35"/>
      <c r="B694" s="35"/>
      <c r="C694" s="35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</row>
    <row r="695">
      <c r="A695" s="35"/>
      <c r="B695" s="35"/>
      <c r="C695" s="35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</row>
    <row r="696">
      <c r="A696" s="35"/>
      <c r="B696" s="35"/>
      <c r="C696" s="35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</row>
    <row r="697">
      <c r="A697" s="35"/>
      <c r="B697" s="35"/>
      <c r="C697" s="35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</row>
    <row r="698">
      <c r="A698" s="35"/>
      <c r="B698" s="35"/>
      <c r="C698" s="35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</row>
    <row r="699">
      <c r="A699" s="35"/>
      <c r="B699" s="35"/>
      <c r="C699" s="35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</row>
    <row r="700">
      <c r="A700" s="35"/>
      <c r="B700" s="35"/>
      <c r="C700" s="35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</row>
    <row r="701">
      <c r="A701" s="35"/>
      <c r="B701" s="35"/>
      <c r="C701" s="35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</row>
    <row r="702">
      <c r="A702" s="35"/>
      <c r="B702" s="35"/>
      <c r="C702" s="35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</row>
    <row r="703">
      <c r="A703" s="35"/>
      <c r="B703" s="35"/>
      <c r="C703" s="35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</row>
    <row r="704">
      <c r="A704" s="35"/>
      <c r="B704" s="35"/>
      <c r="C704" s="35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</row>
    <row r="705">
      <c r="A705" s="35"/>
      <c r="B705" s="35"/>
      <c r="C705" s="35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</row>
    <row r="706">
      <c r="A706" s="35"/>
      <c r="B706" s="35"/>
      <c r="C706" s="35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</row>
    <row r="707">
      <c r="A707" s="35"/>
      <c r="B707" s="35"/>
      <c r="C707" s="35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</row>
    <row r="708">
      <c r="A708" s="35"/>
      <c r="B708" s="35"/>
      <c r="C708" s="35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</row>
    <row r="709">
      <c r="A709" s="35"/>
      <c r="B709" s="35"/>
      <c r="C709" s="35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</row>
    <row r="710">
      <c r="A710" s="35"/>
      <c r="B710" s="35"/>
      <c r="C710" s="35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</row>
    <row r="711">
      <c r="A711" s="35"/>
      <c r="B711" s="35"/>
      <c r="C711" s="35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</row>
    <row r="712">
      <c r="A712" s="35"/>
      <c r="B712" s="35"/>
      <c r="C712" s="35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</row>
    <row r="713">
      <c r="A713" s="35"/>
      <c r="B713" s="35"/>
      <c r="C713" s="35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</row>
    <row r="714">
      <c r="A714" s="35"/>
      <c r="B714" s="35"/>
      <c r="C714" s="35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</row>
    <row r="715">
      <c r="A715" s="35"/>
      <c r="B715" s="35"/>
      <c r="C715" s="35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</row>
    <row r="716">
      <c r="A716" s="35"/>
      <c r="B716" s="35"/>
      <c r="C716" s="35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</row>
    <row r="717">
      <c r="A717" s="35"/>
      <c r="B717" s="35"/>
      <c r="C717" s="35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</row>
    <row r="718">
      <c r="A718" s="35"/>
      <c r="B718" s="35"/>
      <c r="C718" s="35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</row>
    <row r="719">
      <c r="A719" s="35"/>
      <c r="B719" s="35"/>
      <c r="C719" s="35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</row>
    <row r="720">
      <c r="A720" s="35"/>
      <c r="B720" s="35"/>
      <c r="C720" s="35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</row>
    <row r="721">
      <c r="A721" s="35"/>
      <c r="B721" s="35"/>
      <c r="C721" s="35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</row>
    <row r="722">
      <c r="A722" s="35"/>
      <c r="B722" s="35"/>
      <c r="C722" s="35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</row>
    <row r="723">
      <c r="A723" s="35"/>
      <c r="B723" s="35"/>
      <c r="C723" s="35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</row>
    <row r="724">
      <c r="A724" s="35"/>
      <c r="B724" s="35"/>
      <c r="C724" s="35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</row>
    <row r="725">
      <c r="A725" s="35"/>
      <c r="B725" s="35"/>
      <c r="C725" s="35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</row>
    <row r="726">
      <c r="A726" s="35"/>
      <c r="B726" s="35"/>
      <c r="C726" s="35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</row>
    <row r="727">
      <c r="A727" s="35"/>
      <c r="B727" s="35"/>
      <c r="C727" s="35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</row>
    <row r="728">
      <c r="A728" s="35"/>
      <c r="B728" s="35"/>
      <c r="C728" s="35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</row>
    <row r="729">
      <c r="A729" s="35"/>
      <c r="B729" s="35"/>
      <c r="C729" s="35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</row>
    <row r="730">
      <c r="A730" s="35"/>
      <c r="B730" s="35"/>
      <c r="C730" s="35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</row>
    <row r="731">
      <c r="A731" s="35"/>
      <c r="B731" s="35"/>
      <c r="C731" s="35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</row>
    <row r="732">
      <c r="A732" s="35"/>
      <c r="B732" s="35"/>
      <c r="C732" s="35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</row>
    <row r="733">
      <c r="A733" s="35"/>
      <c r="B733" s="35"/>
      <c r="C733" s="35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</row>
    <row r="734">
      <c r="A734" s="35"/>
      <c r="B734" s="35"/>
      <c r="C734" s="35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</row>
    <row r="735">
      <c r="A735" s="35"/>
      <c r="B735" s="35"/>
      <c r="C735" s="35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</row>
    <row r="736">
      <c r="A736" s="35"/>
      <c r="B736" s="35"/>
      <c r="C736" s="35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</row>
    <row r="737">
      <c r="A737" s="35"/>
      <c r="B737" s="35"/>
      <c r="C737" s="35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</row>
    <row r="738">
      <c r="A738" s="35"/>
      <c r="B738" s="35"/>
      <c r="C738" s="35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</row>
    <row r="739">
      <c r="A739" s="35"/>
      <c r="B739" s="35"/>
      <c r="C739" s="35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</row>
    <row r="740">
      <c r="A740" s="35"/>
      <c r="B740" s="35"/>
      <c r="C740" s="35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</row>
    <row r="741">
      <c r="A741" s="35"/>
      <c r="B741" s="35"/>
      <c r="C741" s="35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</row>
    <row r="742">
      <c r="A742" s="35"/>
      <c r="B742" s="35"/>
      <c r="C742" s="35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</row>
    <row r="743">
      <c r="A743" s="35"/>
      <c r="B743" s="35"/>
      <c r="C743" s="35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</row>
    <row r="744">
      <c r="A744" s="35"/>
      <c r="B744" s="35"/>
      <c r="C744" s="35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</row>
    <row r="745">
      <c r="A745" s="35"/>
      <c r="B745" s="35"/>
      <c r="C745" s="35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</row>
    <row r="746">
      <c r="A746" s="35"/>
      <c r="B746" s="35"/>
      <c r="C746" s="35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</row>
    <row r="747">
      <c r="A747" s="35"/>
      <c r="B747" s="35"/>
      <c r="C747" s="35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</row>
    <row r="748">
      <c r="A748" s="35"/>
      <c r="B748" s="35"/>
      <c r="C748" s="35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</row>
    <row r="749">
      <c r="A749" s="35"/>
      <c r="B749" s="35"/>
      <c r="C749" s="35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</row>
    <row r="750">
      <c r="A750" s="35"/>
      <c r="B750" s="35"/>
      <c r="C750" s="35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</row>
    <row r="751">
      <c r="A751" s="35"/>
      <c r="B751" s="35"/>
      <c r="C751" s="35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</row>
    <row r="752">
      <c r="A752" s="35"/>
      <c r="B752" s="35"/>
      <c r="C752" s="35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</row>
    <row r="753">
      <c r="A753" s="35"/>
      <c r="B753" s="35"/>
      <c r="C753" s="35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</row>
    <row r="754">
      <c r="A754" s="35"/>
      <c r="B754" s="35"/>
      <c r="C754" s="35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</row>
    <row r="755">
      <c r="A755" s="35"/>
      <c r="B755" s="35"/>
      <c r="C755" s="35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</row>
    <row r="756">
      <c r="A756" s="35"/>
      <c r="B756" s="35"/>
      <c r="C756" s="35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</row>
    <row r="757">
      <c r="A757" s="35"/>
      <c r="B757" s="35"/>
      <c r="C757" s="35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</row>
    <row r="758">
      <c r="A758" s="35"/>
      <c r="B758" s="35"/>
      <c r="C758" s="35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</row>
    <row r="759">
      <c r="A759" s="35"/>
      <c r="B759" s="35"/>
      <c r="C759" s="35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</row>
    <row r="760">
      <c r="A760" s="35"/>
      <c r="B760" s="35"/>
      <c r="C760" s="35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</row>
    <row r="761">
      <c r="A761" s="35"/>
      <c r="B761" s="35"/>
      <c r="C761" s="35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</row>
    <row r="762">
      <c r="A762" s="35"/>
      <c r="B762" s="35"/>
      <c r="C762" s="35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</row>
    <row r="763">
      <c r="A763" s="35"/>
      <c r="B763" s="35"/>
      <c r="C763" s="35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</row>
    <row r="764">
      <c r="A764" s="35"/>
      <c r="B764" s="35"/>
      <c r="C764" s="35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</row>
    <row r="765">
      <c r="A765" s="35"/>
      <c r="B765" s="35"/>
      <c r="C765" s="35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</row>
    <row r="766">
      <c r="A766" s="35"/>
      <c r="B766" s="35"/>
      <c r="C766" s="35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</row>
    <row r="767">
      <c r="A767" s="35"/>
      <c r="B767" s="35"/>
      <c r="C767" s="35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</row>
    <row r="768">
      <c r="A768" s="35"/>
      <c r="B768" s="35"/>
      <c r="C768" s="35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</row>
    <row r="769">
      <c r="A769" s="35"/>
      <c r="B769" s="35"/>
      <c r="C769" s="35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</row>
    <row r="770">
      <c r="A770" s="35"/>
      <c r="B770" s="35"/>
      <c r="C770" s="35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</row>
    <row r="771">
      <c r="A771" s="35"/>
      <c r="B771" s="35"/>
      <c r="C771" s="35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</row>
    <row r="772">
      <c r="A772" s="35"/>
      <c r="B772" s="35"/>
      <c r="C772" s="35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</row>
    <row r="773">
      <c r="A773" s="35"/>
      <c r="B773" s="35"/>
      <c r="C773" s="35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</row>
    <row r="774">
      <c r="A774" s="35"/>
      <c r="B774" s="35"/>
      <c r="C774" s="35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</row>
    <row r="775">
      <c r="A775" s="35"/>
      <c r="B775" s="35"/>
      <c r="C775" s="35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</row>
    <row r="776">
      <c r="A776" s="35"/>
      <c r="B776" s="35"/>
      <c r="C776" s="35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</row>
    <row r="777">
      <c r="A777" s="35"/>
      <c r="B777" s="35"/>
      <c r="C777" s="35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</row>
    <row r="778">
      <c r="A778" s="35"/>
      <c r="B778" s="35"/>
      <c r="C778" s="35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</row>
    <row r="779">
      <c r="A779" s="35"/>
      <c r="B779" s="35"/>
      <c r="C779" s="35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</row>
    <row r="780">
      <c r="A780" s="35"/>
      <c r="B780" s="35"/>
      <c r="C780" s="35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</row>
    <row r="781">
      <c r="A781" s="35"/>
      <c r="B781" s="35"/>
      <c r="C781" s="35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</row>
    <row r="782">
      <c r="A782" s="35"/>
      <c r="B782" s="35"/>
      <c r="C782" s="35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</row>
    <row r="783">
      <c r="A783" s="35"/>
      <c r="B783" s="35"/>
      <c r="C783" s="35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</row>
    <row r="784">
      <c r="A784" s="35"/>
      <c r="B784" s="35"/>
      <c r="C784" s="35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</row>
    <row r="785">
      <c r="A785" s="35"/>
      <c r="B785" s="35"/>
      <c r="C785" s="35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</row>
    <row r="786">
      <c r="A786" s="35"/>
      <c r="B786" s="35"/>
      <c r="C786" s="35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</row>
    <row r="787">
      <c r="A787" s="35"/>
      <c r="B787" s="35"/>
      <c r="C787" s="35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</row>
    <row r="788">
      <c r="A788" s="35"/>
      <c r="B788" s="35"/>
      <c r="C788" s="35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</row>
    <row r="789">
      <c r="A789" s="35"/>
      <c r="B789" s="35"/>
      <c r="C789" s="35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</row>
    <row r="790">
      <c r="A790" s="35"/>
      <c r="B790" s="35"/>
      <c r="C790" s="35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</row>
    <row r="791">
      <c r="A791" s="35"/>
      <c r="B791" s="35"/>
      <c r="C791" s="35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</row>
    <row r="792">
      <c r="A792" s="35"/>
      <c r="B792" s="35"/>
      <c r="C792" s="35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</row>
    <row r="793">
      <c r="A793" s="35"/>
      <c r="B793" s="35"/>
      <c r="C793" s="35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</row>
    <row r="794">
      <c r="A794" s="35"/>
      <c r="B794" s="35"/>
      <c r="C794" s="35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</row>
    <row r="795">
      <c r="A795" s="35"/>
      <c r="B795" s="35"/>
      <c r="C795" s="35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</row>
    <row r="796">
      <c r="A796" s="35"/>
      <c r="B796" s="35"/>
      <c r="C796" s="35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</row>
    <row r="797">
      <c r="A797" s="35"/>
      <c r="B797" s="35"/>
      <c r="C797" s="35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</row>
    <row r="798">
      <c r="A798" s="35"/>
      <c r="B798" s="35"/>
      <c r="C798" s="35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</row>
    <row r="799">
      <c r="A799" s="35"/>
      <c r="B799" s="35"/>
      <c r="C799" s="35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</row>
    <row r="800">
      <c r="A800" s="35"/>
      <c r="B800" s="35"/>
      <c r="C800" s="35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</row>
    <row r="801">
      <c r="A801" s="35"/>
      <c r="B801" s="35"/>
      <c r="C801" s="35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</row>
    <row r="802">
      <c r="A802" s="35"/>
      <c r="B802" s="35"/>
      <c r="C802" s="35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</row>
    <row r="803">
      <c r="A803" s="35"/>
      <c r="B803" s="35"/>
      <c r="C803" s="35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</row>
    <row r="804">
      <c r="A804" s="35"/>
      <c r="B804" s="35"/>
      <c r="C804" s="35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</row>
    <row r="805">
      <c r="A805" s="35"/>
      <c r="B805" s="35"/>
      <c r="C805" s="35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</row>
    <row r="806">
      <c r="A806" s="35"/>
      <c r="B806" s="35"/>
      <c r="C806" s="35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</row>
    <row r="807">
      <c r="A807" s="35"/>
      <c r="B807" s="35"/>
      <c r="C807" s="35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</row>
    <row r="808">
      <c r="A808" s="35"/>
      <c r="B808" s="35"/>
      <c r="C808" s="35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</row>
    <row r="809">
      <c r="A809" s="35"/>
      <c r="B809" s="35"/>
      <c r="C809" s="35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</row>
    <row r="810">
      <c r="A810" s="35"/>
      <c r="B810" s="35"/>
      <c r="C810" s="35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</row>
    <row r="811">
      <c r="A811" s="35"/>
      <c r="B811" s="35"/>
      <c r="C811" s="35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</row>
    <row r="812">
      <c r="A812" s="35"/>
      <c r="B812" s="35"/>
      <c r="C812" s="35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</row>
    <row r="813">
      <c r="A813" s="35"/>
      <c r="B813" s="35"/>
      <c r="C813" s="35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</row>
    <row r="814">
      <c r="A814" s="35"/>
      <c r="B814" s="35"/>
      <c r="C814" s="35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</row>
    <row r="815">
      <c r="A815" s="35"/>
      <c r="B815" s="35"/>
      <c r="C815" s="35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</row>
    <row r="816">
      <c r="A816" s="35"/>
      <c r="B816" s="35"/>
      <c r="C816" s="35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</row>
    <row r="817">
      <c r="A817" s="35"/>
      <c r="B817" s="35"/>
      <c r="C817" s="35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</row>
    <row r="818">
      <c r="A818" s="35"/>
      <c r="B818" s="35"/>
      <c r="C818" s="35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</row>
    <row r="819">
      <c r="A819" s="35"/>
      <c r="B819" s="35"/>
      <c r="C819" s="35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</row>
    <row r="820">
      <c r="A820" s="35"/>
      <c r="B820" s="35"/>
      <c r="C820" s="35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</row>
    <row r="821">
      <c r="A821" s="35"/>
      <c r="B821" s="35"/>
      <c r="C821" s="35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</row>
    <row r="822">
      <c r="A822" s="35"/>
      <c r="B822" s="35"/>
      <c r="C822" s="35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</row>
    <row r="823">
      <c r="A823" s="35"/>
      <c r="B823" s="35"/>
      <c r="C823" s="35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</row>
    <row r="824">
      <c r="A824" s="35"/>
      <c r="B824" s="35"/>
      <c r="C824" s="35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</row>
    <row r="825">
      <c r="A825" s="35"/>
      <c r="B825" s="35"/>
      <c r="C825" s="35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</row>
    <row r="826">
      <c r="A826" s="35"/>
      <c r="B826" s="35"/>
      <c r="C826" s="35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</row>
    <row r="827">
      <c r="A827" s="35"/>
      <c r="B827" s="35"/>
      <c r="C827" s="35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</row>
    <row r="828">
      <c r="A828" s="35"/>
      <c r="B828" s="35"/>
      <c r="C828" s="35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</row>
    <row r="829">
      <c r="A829" s="35"/>
      <c r="B829" s="35"/>
      <c r="C829" s="35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</row>
    <row r="830">
      <c r="A830" s="35"/>
      <c r="B830" s="35"/>
      <c r="C830" s="35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</row>
    <row r="831">
      <c r="A831" s="35"/>
      <c r="B831" s="35"/>
      <c r="C831" s="35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</row>
    <row r="832">
      <c r="A832" s="35"/>
      <c r="B832" s="35"/>
      <c r="C832" s="35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</row>
    <row r="833">
      <c r="A833" s="35"/>
      <c r="B833" s="35"/>
      <c r="C833" s="35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</row>
    <row r="834">
      <c r="A834" s="35"/>
      <c r="B834" s="35"/>
      <c r="C834" s="35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</row>
    <row r="835">
      <c r="A835" s="35"/>
      <c r="B835" s="35"/>
      <c r="C835" s="35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</row>
    <row r="836">
      <c r="A836" s="35"/>
      <c r="B836" s="35"/>
      <c r="C836" s="35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</row>
    <row r="837">
      <c r="A837" s="35"/>
      <c r="B837" s="35"/>
      <c r="C837" s="35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</row>
    <row r="838">
      <c r="A838" s="35"/>
      <c r="B838" s="35"/>
      <c r="C838" s="35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</row>
    <row r="839">
      <c r="A839" s="35"/>
      <c r="B839" s="35"/>
      <c r="C839" s="35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</row>
    <row r="840">
      <c r="A840" s="35"/>
      <c r="B840" s="35"/>
      <c r="C840" s="35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</row>
    <row r="841">
      <c r="A841" s="35"/>
      <c r="B841" s="35"/>
      <c r="C841" s="35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</row>
    <row r="842">
      <c r="A842" s="35"/>
      <c r="B842" s="35"/>
      <c r="C842" s="35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</row>
    <row r="843">
      <c r="A843" s="35"/>
      <c r="B843" s="35"/>
      <c r="C843" s="35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</row>
    <row r="844">
      <c r="A844" s="35"/>
      <c r="B844" s="35"/>
      <c r="C844" s="35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</row>
    <row r="845">
      <c r="A845" s="35"/>
      <c r="B845" s="35"/>
      <c r="C845" s="35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</row>
    <row r="846">
      <c r="A846" s="35"/>
      <c r="B846" s="35"/>
      <c r="C846" s="35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</row>
    <row r="847">
      <c r="A847" s="35"/>
      <c r="B847" s="35"/>
      <c r="C847" s="35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</row>
    <row r="848">
      <c r="A848" s="35"/>
      <c r="B848" s="35"/>
      <c r="C848" s="35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</row>
    <row r="849">
      <c r="A849" s="35"/>
      <c r="B849" s="35"/>
      <c r="C849" s="35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</row>
    <row r="850">
      <c r="A850" s="35"/>
      <c r="B850" s="35"/>
      <c r="C850" s="35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</row>
    <row r="851">
      <c r="A851" s="35"/>
      <c r="B851" s="35"/>
      <c r="C851" s="35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</row>
    <row r="852">
      <c r="A852" s="35"/>
      <c r="B852" s="35"/>
      <c r="C852" s="35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</row>
    <row r="853">
      <c r="A853" s="35"/>
      <c r="B853" s="35"/>
      <c r="C853" s="35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</row>
    <row r="854">
      <c r="A854" s="35"/>
      <c r="B854" s="35"/>
      <c r="C854" s="35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</row>
    <row r="855">
      <c r="A855" s="35"/>
      <c r="B855" s="35"/>
      <c r="C855" s="35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</row>
    <row r="856">
      <c r="A856" s="35"/>
      <c r="B856" s="35"/>
      <c r="C856" s="35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</row>
    <row r="857">
      <c r="A857" s="35"/>
      <c r="B857" s="35"/>
      <c r="C857" s="35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</row>
    <row r="858">
      <c r="A858" s="35"/>
      <c r="B858" s="35"/>
      <c r="C858" s="35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</row>
    <row r="859">
      <c r="A859" s="35"/>
      <c r="B859" s="35"/>
      <c r="C859" s="35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</row>
    <row r="860">
      <c r="A860" s="35"/>
      <c r="B860" s="35"/>
      <c r="C860" s="35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</row>
    <row r="861">
      <c r="A861" s="35"/>
      <c r="B861" s="35"/>
      <c r="C861" s="35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</row>
    <row r="862">
      <c r="A862" s="35"/>
      <c r="B862" s="35"/>
      <c r="C862" s="35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</row>
    <row r="863">
      <c r="A863" s="35"/>
      <c r="B863" s="35"/>
      <c r="C863" s="35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</row>
    <row r="864">
      <c r="A864" s="35"/>
      <c r="B864" s="35"/>
      <c r="C864" s="35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</row>
    <row r="865">
      <c r="A865" s="35"/>
      <c r="B865" s="35"/>
      <c r="C865" s="35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</row>
    <row r="866">
      <c r="A866" s="35"/>
      <c r="B866" s="35"/>
      <c r="C866" s="35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</row>
    <row r="867">
      <c r="A867" s="35"/>
      <c r="B867" s="35"/>
      <c r="C867" s="35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</row>
    <row r="868">
      <c r="A868" s="35"/>
      <c r="B868" s="35"/>
      <c r="C868" s="35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</row>
    <row r="869">
      <c r="A869" s="35"/>
      <c r="B869" s="35"/>
      <c r="C869" s="35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</row>
    <row r="870">
      <c r="A870" s="35"/>
      <c r="B870" s="35"/>
      <c r="C870" s="35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</row>
    <row r="871">
      <c r="A871" s="35"/>
      <c r="B871" s="35"/>
      <c r="C871" s="35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</row>
    <row r="872">
      <c r="A872" s="35"/>
      <c r="B872" s="35"/>
      <c r="C872" s="35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</row>
    <row r="873">
      <c r="A873" s="35"/>
      <c r="B873" s="35"/>
      <c r="C873" s="35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</row>
    <row r="874">
      <c r="A874" s="35"/>
      <c r="B874" s="35"/>
      <c r="C874" s="35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</row>
    <row r="875">
      <c r="A875" s="35"/>
      <c r="B875" s="35"/>
      <c r="C875" s="35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</row>
    <row r="876">
      <c r="A876" s="35"/>
      <c r="B876" s="35"/>
      <c r="C876" s="35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</row>
    <row r="877">
      <c r="A877" s="35"/>
      <c r="B877" s="35"/>
      <c r="C877" s="35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</row>
    <row r="878">
      <c r="A878" s="35"/>
      <c r="B878" s="35"/>
      <c r="C878" s="35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</row>
    <row r="879">
      <c r="A879" s="35"/>
      <c r="B879" s="35"/>
      <c r="C879" s="35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</row>
    <row r="880">
      <c r="A880" s="35"/>
      <c r="B880" s="35"/>
      <c r="C880" s="35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</row>
    <row r="881">
      <c r="A881" s="35"/>
      <c r="B881" s="35"/>
      <c r="C881" s="35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</row>
    <row r="882">
      <c r="A882" s="35"/>
      <c r="B882" s="35"/>
      <c r="C882" s="35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</row>
    <row r="883">
      <c r="A883" s="35"/>
      <c r="B883" s="35"/>
      <c r="C883" s="35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</row>
    <row r="884">
      <c r="A884" s="35"/>
      <c r="B884" s="35"/>
      <c r="C884" s="35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</row>
    <row r="885">
      <c r="A885" s="35"/>
      <c r="B885" s="35"/>
      <c r="C885" s="35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</row>
    <row r="886">
      <c r="A886" s="35"/>
      <c r="B886" s="35"/>
      <c r="C886" s="35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</row>
    <row r="887">
      <c r="A887" s="35"/>
      <c r="B887" s="35"/>
      <c r="C887" s="35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</row>
    <row r="888">
      <c r="A888" s="35"/>
      <c r="B888" s="35"/>
      <c r="C888" s="35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</row>
    <row r="889">
      <c r="A889" s="35"/>
      <c r="B889" s="35"/>
      <c r="C889" s="35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</row>
    <row r="890">
      <c r="A890" s="35"/>
      <c r="B890" s="35"/>
      <c r="C890" s="35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</row>
    <row r="891">
      <c r="A891" s="35"/>
      <c r="B891" s="35"/>
      <c r="C891" s="35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</row>
    <row r="892">
      <c r="A892" s="35"/>
      <c r="B892" s="35"/>
      <c r="C892" s="35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</row>
    <row r="893">
      <c r="A893" s="35"/>
      <c r="B893" s="35"/>
      <c r="C893" s="35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</row>
    <row r="894">
      <c r="A894" s="35"/>
      <c r="B894" s="35"/>
      <c r="C894" s="35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</row>
    <row r="895">
      <c r="A895" s="35"/>
      <c r="B895" s="35"/>
      <c r="C895" s="35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</row>
    <row r="896">
      <c r="A896" s="35"/>
      <c r="B896" s="35"/>
      <c r="C896" s="35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</row>
    <row r="897">
      <c r="A897" s="35"/>
      <c r="B897" s="35"/>
      <c r="C897" s="35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</row>
    <row r="898">
      <c r="A898" s="35"/>
      <c r="B898" s="35"/>
      <c r="C898" s="35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</row>
    <row r="899">
      <c r="A899" s="35"/>
      <c r="B899" s="35"/>
      <c r="C899" s="35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</row>
    <row r="900">
      <c r="A900" s="35"/>
      <c r="B900" s="35"/>
      <c r="C900" s="35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</row>
    <row r="901">
      <c r="A901" s="35"/>
      <c r="B901" s="35"/>
      <c r="C901" s="35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</row>
    <row r="902">
      <c r="A902" s="35"/>
      <c r="B902" s="35"/>
      <c r="C902" s="35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</row>
    <row r="903">
      <c r="A903" s="35"/>
      <c r="B903" s="35"/>
      <c r="C903" s="35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</row>
    <row r="904">
      <c r="A904" s="35"/>
      <c r="B904" s="35"/>
      <c r="C904" s="35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</row>
    <row r="905">
      <c r="A905" s="35"/>
      <c r="B905" s="35"/>
      <c r="C905" s="35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</row>
    <row r="906">
      <c r="A906" s="35"/>
      <c r="B906" s="35"/>
      <c r="C906" s="35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</row>
    <row r="907">
      <c r="A907" s="35"/>
      <c r="B907" s="35"/>
      <c r="C907" s="35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</row>
    <row r="908">
      <c r="A908" s="35"/>
      <c r="B908" s="35"/>
      <c r="C908" s="35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</row>
    <row r="909">
      <c r="A909" s="35"/>
      <c r="B909" s="35"/>
      <c r="C909" s="35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</row>
    <row r="910">
      <c r="A910" s="35"/>
      <c r="B910" s="35"/>
      <c r="C910" s="35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</row>
    <row r="911">
      <c r="A911" s="35"/>
      <c r="B911" s="35"/>
      <c r="C911" s="35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</row>
    <row r="912">
      <c r="A912" s="35"/>
      <c r="B912" s="35"/>
      <c r="C912" s="35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</row>
    <row r="913">
      <c r="A913" s="35"/>
      <c r="B913" s="35"/>
      <c r="C913" s="35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</row>
    <row r="914">
      <c r="A914" s="35"/>
      <c r="B914" s="35"/>
      <c r="C914" s="35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</row>
    <row r="915">
      <c r="A915" s="35"/>
      <c r="B915" s="35"/>
      <c r="C915" s="35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</row>
    <row r="916">
      <c r="A916" s="35"/>
      <c r="B916" s="35"/>
      <c r="C916" s="35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</row>
    <row r="917">
      <c r="A917" s="35"/>
      <c r="B917" s="35"/>
      <c r="C917" s="35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</row>
    <row r="918">
      <c r="A918" s="35"/>
      <c r="B918" s="35"/>
      <c r="C918" s="35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</row>
    <row r="919">
      <c r="A919" s="35"/>
      <c r="B919" s="35"/>
      <c r="C919" s="35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</row>
    <row r="920">
      <c r="A920" s="35"/>
      <c r="B920" s="35"/>
      <c r="C920" s="35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</row>
    <row r="921">
      <c r="A921" s="35"/>
      <c r="B921" s="35"/>
      <c r="C921" s="35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</row>
    <row r="922">
      <c r="A922" s="35"/>
      <c r="B922" s="35"/>
      <c r="C922" s="35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</row>
    <row r="923">
      <c r="A923" s="35"/>
      <c r="B923" s="35"/>
      <c r="C923" s="35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</row>
    <row r="924">
      <c r="A924" s="35"/>
      <c r="B924" s="35"/>
      <c r="C924" s="35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</row>
    <row r="925">
      <c r="A925" s="35"/>
      <c r="B925" s="35"/>
      <c r="C925" s="35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</row>
    <row r="926">
      <c r="A926" s="35"/>
      <c r="B926" s="35"/>
      <c r="C926" s="35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</row>
    <row r="927">
      <c r="A927" s="35"/>
      <c r="B927" s="35"/>
      <c r="C927" s="35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</row>
    <row r="928">
      <c r="A928" s="35"/>
      <c r="B928" s="35"/>
      <c r="C928" s="35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</row>
    <row r="929">
      <c r="A929" s="35"/>
      <c r="B929" s="35"/>
      <c r="C929" s="35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</row>
    <row r="930">
      <c r="A930" s="35"/>
      <c r="B930" s="35"/>
      <c r="C930" s="35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</row>
    <row r="931">
      <c r="A931" s="35"/>
      <c r="B931" s="35"/>
      <c r="C931" s="35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</row>
    <row r="932">
      <c r="A932" s="35"/>
      <c r="B932" s="35"/>
      <c r="C932" s="35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</row>
    <row r="933">
      <c r="A933" s="35"/>
      <c r="B933" s="35"/>
      <c r="C933" s="35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</row>
    <row r="934">
      <c r="A934" s="35"/>
      <c r="B934" s="35"/>
      <c r="C934" s="35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</row>
    <row r="935">
      <c r="A935" s="35"/>
      <c r="B935" s="35"/>
      <c r="C935" s="35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</row>
    <row r="936">
      <c r="A936" s="35"/>
      <c r="B936" s="35"/>
      <c r="C936" s="35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</row>
    <row r="937">
      <c r="A937" s="35"/>
      <c r="B937" s="35"/>
      <c r="C937" s="35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</row>
    <row r="938">
      <c r="A938" s="35"/>
      <c r="B938" s="35"/>
      <c r="C938" s="35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</row>
    <row r="939">
      <c r="A939" s="35"/>
      <c r="B939" s="35"/>
      <c r="C939" s="35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</row>
    <row r="940">
      <c r="A940" s="35"/>
      <c r="B940" s="35"/>
      <c r="C940" s="35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</row>
    <row r="941">
      <c r="A941" s="35"/>
      <c r="B941" s="35"/>
      <c r="C941" s="35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</row>
    <row r="942">
      <c r="A942" s="35"/>
      <c r="B942" s="35"/>
      <c r="C942" s="35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</row>
    <row r="943">
      <c r="A943" s="35"/>
      <c r="B943" s="35"/>
      <c r="C943" s="35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</row>
    <row r="944">
      <c r="A944" s="35"/>
      <c r="B944" s="35"/>
      <c r="C944" s="35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</row>
    <row r="945">
      <c r="A945" s="35"/>
      <c r="B945" s="35"/>
      <c r="C945" s="35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</row>
    <row r="946">
      <c r="A946" s="35"/>
      <c r="B946" s="35"/>
      <c r="C946" s="35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</row>
    <row r="947">
      <c r="A947" s="35"/>
      <c r="B947" s="35"/>
      <c r="C947" s="35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</row>
    <row r="948">
      <c r="A948" s="35"/>
      <c r="B948" s="35"/>
      <c r="C948" s="35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</row>
    <row r="949">
      <c r="A949" s="35"/>
      <c r="B949" s="35"/>
      <c r="C949" s="35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</row>
    <row r="950">
      <c r="A950" s="35"/>
      <c r="B950" s="35"/>
      <c r="C950" s="35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</row>
    <row r="951">
      <c r="A951" s="35"/>
      <c r="B951" s="35"/>
      <c r="C951" s="35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</row>
    <row r="952">
      <c r="A952" s="35"/>
      <c r="B952" s="35"/>
      <c r="C952" s="35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</row>
    <row r="953">
      <c r="A953" s="35"/>
      <c r="B953" s="35"/>
      <c r="C953" s="35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</row>
    <row r="954">
      <c r="A954" s="35"/>
      <c r="B954" s="35"/>
      <c r="C954" s="35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</row>
    <row r="955">
      <c r="A955" s="35"/>
      <c r="B955" s="35"/>
      <c r="C955" s="35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</row>
    <row r="956">
      <c r="A956" s="35"/>
      <c r="B956" s="35"/>
      <c r="C956" s="35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</row>
    <row r="957">
      <c r="A957" s="35"/>
      <c r="B957" s="35"/>
      <c r="C957" s="35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</row>
    <row r="958">
      <c r="A958" s="35"/>
      <c r="B958" s="35"/>
      <c r="C958" s="35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</row>
    <row r="959">
      <c r="A959" s="35"/>
      <c r="B959" s="35"/>
      <c r="C959" s="35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</row>
    <row r="960">
      <c r="A960" s="35"/>
      <c r="B960" s="35"/>
      <c r="C960" s="35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</row>
    <row r="961">
      <c r="A961" s="35"/>
      <c r="B961" s="35"/>
      <c r="C961" s="35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</row>
    <row r="962">
      <c r="A962" s="35"/>
      <c r="B962" s="35"/>
      <c r="C962" s="35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</row>
    <row r="963">
      <c r="A963" s="35"/>
      <c r="B963" s="35"/>
      <c r="C963" s="35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</row>
    <row r="964">
      <c r="A964" s="35"/>
      <c r="B964" s="35"/>
      <c r="C964" s="35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</row>
    <row r="965">
      <c r="A965" s="35"/>
      <c r="B965" s="35"/>
      <c r="C965" s="35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</row>
    <row r="966">
      <c r="A966" s="35"/>
      <c r="B966" s="35"/>
      <c r="C966" s="35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</row>
    <row r="967">
      <c r="A967" s="35"/>
      <c r="B967" s="35"/>
      <c r="C967" s="35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</row>
    <row r="968">
      <c r="A968" s="35"/>
      <c r="B968" s="35"/>
      <c r="C968" s="35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</row>
    <row r="969">
      <c r="A969" s="35"/>
      <c r="B969" s="35"/>
      <c r="C969" s="35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</row>
    <row r="970">
      <c r="A970" s="35"/>
      <c r="B970" s="35"/>
      <c r="C970" s="35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</row>
    <row r="971">
      <c r="A971" s="35"/>
      <c r="B971" s="35"/>
      <c r="C971" s="35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</row>
    <row r="972">
      <c r="A972" s="35"/>
      <c r="B972" s="35"/>
      <c r="C972" s="35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</row>
    <row r="973">
      <c r="A973" s="35"/>
      <c r="B973" s="35"/>
      <c r="C973" s="35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</row>
    <row r="974">
      <c r="A974" s="35"/>
      <c r="B974" s="35"/>
      <c r="C974" s="35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</row>
    <row r="975">
      <c r="A975" s="35"/>
      <c r="B975" s="35"/>
      <c r="C975" s="35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</row>
    <row r="976">
      <c r="A976" s="35"/>
      <c r="B976" s="35"/>
      <c r="C976" s="35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</row>
  </sheetData>
  <mergeCells count="14">
    <mergeCell ref="E33:I33"/>
    <mergeCell ref="J33:J34"/>
    <mergeCell ref="K33:K34"/>
    <mergeCell ref="L33:L34"/>
    <mergeCell ref="M33:M34"/>
    <mergeCell ref="N33:N34"/>
    <mergeCell ref="B1:O4"/>
    <mergeCell ref="E5:I5"/>
    <mergeCell ref="B29:O32"/>
    <mergeCell ref="A33:A34"/>
    <mergeCell ref="B33:B34"/>
    <mergeCell ref="C33:C34"/>
    <mergeCell ref="D33:D34"/>
    <mergeCell ref="O33:O34"/>
  </mergeCells>
  <conditionalFormatting sqref="K7:K27 M7:M27 K35:K55 M35:M55">
    <cfRule type="cellIs" dxfId="0" priority="1" operator="between">
      <formula>"0%"</formula>
      <formula>"79.99%"</formula>
    </cfRule>
  </conditionalFormatting>
  <conditionalFormatting sqref="K7:K27 M7:M27 K35:K55 M35:M55">
    <cfRule type="cellIs" dxfId="1" priority="2" operator="between">
      <formula>"80%"</formula>
      <formula>"99.99%"</formula>
    </cfRule>
  </conditionalFormatting>
  <conditionalFormatting sqref="K7:K27 M7:M27 K35:K55 M35:M55">
    <cfRule type="cellIs" dxfId="2" priority="3" operator="between">
      <formula>"100%"</formula>
      <formula>"500%"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3" max="3" width="15.63"/>
  </cols>
  <sheetData>
    <row r="1">
      <c r="A1" s="106" t="s">
        <v>3</v>
      </c>
      <c r="B1" s="107" t="s">
        <v>10</v>
      </c>
      <c r="C1" s="5" t="s">
        <v>3</v>
      </c>
      <c r="D1" s="5" t="s">
        <v>2</v>
      </c>
    </row>
    <row r="2">
      <c r="A2" s="108" t="s">
        <v>18</v>
      </c>
      <c r="B2" s="109">
        <v>0.9556082256963989</v>
      </c>
      <c r="C2" s="11" t="s">
        <v>18</v>
      </c>
      <c r="D2" s="10">
        <v>100.0</v>
      </c>
    </row>
    <row r="3">
      <c r="A3" s="108" t="s">
        <v>21</v>
      </c>
      <c r="B3" s="109">
        <v>0.934754735375</v>
      </c>
      <c r="C3" s="11" t="s">
        <v>21</v>
      </c>
      <c r="D3" s="10">
        <v>6.0</v>
      </c>
    </row>
    <row r="4">
      <c r="A4" s="110" t="s">
        <v>22</v>
      </c>
      <c r="B4" s="109">
        <v>0.861849198</v>
      </c>
      <c r="C4" s="10" t="s">
        <v>22</v>
      </c>
      <c r="D4" s="10">
        <v>64.0</v>
      </c>
    </row>
    <row r="5">
      <c r="A5" s="110" t="s">
        <v>24</v>
      </c>
      <c r="B5" s="109">
        <v>1.82</v>
      </c>
      <c r="C5" s="10" t="s">
        <v>24</v>
      </c>
      <c r="D5" s="10">
        <v>2.0</v>
      </c>
    </row>
    <row r="6">
      <c r="A6" s="110" t="s">
        <v>25</v>
      </c>
      <c r="B6" s="111">
        <v>1.1518</v>
      </c>
      <c r="C6" s="10" t="s">
        <v>25</v>
      </c>
      <c r="D6" s="10">
        <v>10.0</v>
      </c>
    </row>
    <row r="7">
      <c r="A7" s="110" t="s">
        <v>27</v>
      </c>
      <c r="B7" s="109">
        <v>1.013747758517633</v>
      </c>
      <c r="C7" s="10" t="s">
        <v>27</v>
      </c>
      <c r="D7" s="10">
        <v>21.0</v>
      </c>
    </row>
    <row r="8">
      <c r="A8" s="110" t="s">
        <v>29</v>
      </c>
      <c r="B8" s="109">
        <v>0.9203804425207164</v>
      </c>
      <c r="C8" s="10" t="s">
        <v>29</v>
      </c>
      <c r="D8" s="10">
        <v>15.0</v>
      </c>
      <c r="J8" s="112"/>
    </row>
    <row r="9">
      <c r="A9" s="110" t="s">
        <v>31</v>
      </c>
      <c r="B9" s="109">
        <v>0.7430398198143027</v>
      </c>
      <c r="C9" s="10" t="s">
        <v>31</v>
      </c>
      <c r="D9" s="10">
        <v>35.0</v>
      </c>
    </row>
    <row r="10">
      <c r="A10" s="108" t="s">
        <v>32</v>
      </c>
      <c r="B10" s="109">
        <v>0.6475652868057932</v>
      </c>
      <c r="C10" s="11" t="s">
        <v>32</v>
      </c>
      <c r="D10" s="10">
        <v>102.0</v>
      </c>
    </row>
    <row r="11">
      <c r="A11" s="110" t="s">
        <v>117</v>
      </c>
      <c r="B11" s="109">
        <v>0.2661290322580645</v>
      </c>
      <c r="C11" s="10" t="s">
        <v>117</v>
      </c>
      <c r="D11" s="10">
        <v>5.0</v>
      </c>
    </row>
    <row r="12">
      <c r="A12" s="110" t="s">
        <v>118</v>
      </c>
      <c r="B12" s="109">
        <v>0.9230769230769231</v>
      </c>
      <c r="C12" s="10" t="s">
        <v>118</v>
      </c>
      <c r="D12" s="10">
        <v>13.0</v>
      </c>
    </row>
    <row r="13">
      <c r="A13" s="108" t="s">
        <v>35</v>
      </c>
      <c r="B13" s="109">
        <v>2.083329923922232</v>
      </c>
      <c r="C13" s="11" t="s">
        <v>35</v>
      </c>
      <c r="D13" s="10">
        <v>39.0</v>
      </c>
    </row>
    <row r="14">
      <c r="A14" s="108" t="s">
        <v>37</v>
      </c>
      <c r="B14" s="113">
        <v>0.8525</v>
      </c>
      <c r="C14" s="11" t="s">
        <v>37</v>
      </c>
      <c r="D14" s="10">
        <v>5.0</v>
      </c>
    </row>
    <row r="15">
      <c r="A15" s="108" t="s">
        <v>38</v>
      </c>
      <c r="B15" s="109">
        <v>0.7716363636363637</v>
      </c>
      <c r="C15" s="11" t="s">
        <v>38</v>
      </c>
      <c r="D15" s="10">
        <v>10.0</v>
      </c>
    </row>
    <row r="16">
      <c r="A16" s="110" t="s">
        <v>39</v>
      </c>
      <c r="B16" s="109">
        <v>1.0268398268398269</v>
      </c>
      <c r="C16" s="10" t="s">
        <v>39</v>
      </c>
      <c r="D16" s="10">
        <v>25.0</v>
      </c>
    </row>
    <row r="17">
      <c r="A17" s="110" t="s">
        <v>40</v>
      </c>
      <c r="B17" s="109">
        <v>0.9592592592592593</v>
      </c>
      <c r="C17" s="10" t="s">
        <v>40</v>
      </c>
      <c r="D17" s="10">
        <v>20.0</v>
      </c>
    </row>
    <row r="18">
      <c r="A18" s="110" t="s">
        <v>73</v>
      </c>
      <c r="B18" s="109">
        <v>1.2082251082251083</v>
      </c>
      <c r="C18" s="10" t="s">
        <v>73</v>
      </c>
      <c r="D18" s="10">
        <v>21.0</v>
      </c>
    </row>
    <row r="19">
      <c r="A19" s="110" t="s">
        <v>134</v>
      </c>
      <c r="B19" s="109">
        <v>0.6305355454545455</v>
      </c>
      <c r="C19" s="10" t="s">
        <v>134</v>
      </c>
      <c r="D19" s="10">
        <v>5.0</v>
      </c>
    </row>
    <row r="20">
      <c r="A20" s="110" t="s">
        <v>43</v>
      </c>
      <c r="B20" s="109">
        <v>1.3333333333333333</v>
      </c>
      <c r="C20" s="10" t="s">
        <v>43</v>
      </c>
      <c r="D20" s="10">
        <v>3.0</v>
      </c>
    </row>
    <row r="21">
      <c r="A21" s="110" t="s">
        <v>44</v>
      </c>
      <c r="B21" s="109">
        <v>1.0470588235294118</v>
      </c>
      <c r="C21" s="10" t="s">
        <v>44</v>
      </c>
      <c r="D21" s="10">
        <v>45.0</v>
      </c>
    </row>
    <row r="22">
      <c r="A22" s="110" t="s">
        <v>120</v>
      </c>
      <c r="B22" s="109">
        <v>0.924235294117647</v>
      </c>
      <c r="C22" s="10" t="s">
        <v>120</v>
      </c>
      <c r="D22" s="10">
        <v>69.0</v>
      </c>
    </row>
  </sheetData>
  <conditionalFormatting sqref="B2:B22">
    <cfRule type="cellIs" dxfId="0" priority="1" operator="between">
      <formula>"0%"</formula>
      <formula>"79.99%"</formula>
    </cfRule>
  </conditionalFormatting>
  <conditionalFormatting sqref="B2:B22">
    <cfRule type="cellIs" dxfId="1" priority="2" operator="between">
      <formula>"80%"</formula>
      <formula>"99.99%"</formula>
    </cfRule>
  </conditionalFormatting>
  <conditionalFormatting sqref="B2:B22">
    <cfRule type="cellIs" dxfId="2" priority="3" operator="between">
      <formula>"100%"</formula>
      <formula>"500%"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8" max="8" width="15.5"/>
  </cols>
  <sheetData>
    <row r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>
      <c r="A2" s="114" t="s">
        <v>200</v>
      </c>
      <c r="F2" s="38"/>
      <c r="G2" s="38"/>
      <c r="H2" s="114" t="s">
        <v>200</v>
      </c>
      <c r="L2" s="38"/>
      <c r="M2" s="38"/>
      <c r="N2" s="38"/>
      <c r="O2" s="114" t="s">
        <v>200</v>
      </c>
      <c r="S2" s="38"/>
      <c r="T2" s="38"/>
      <c r="U2" s="38"/>
      <c r="V2" s="38"/>
    </row>
    <row r="3">
      <c r="A3" s="115" t="s">
        <v>18</v>
      </c>
      <c r="B3" s="114" t="s">
        <v>201</v>
      </c>
      <c r="C3" s="114" t="s">
        <v>202</v>
      </c>
      <c r="D3" s="114" t="s">
        <v>203</v>
      </c>
      <c r="E3" s="114" t="s">
        <v>204</v>
      </c>
      <c r="F3" s="38"/>
      <c r="G3" s="38"/>
      <c r="H3" s="115" t="s">
        <v>21</v>
      </c>
      <c r="I3" s="114" t="s">
        <v>201</v>
      </c>
      <c r="J3" s="114" t="s">
        <v>202</v>
      </c>
      <c r="K3" s="114" t="s">
        <v>203</v>
      </c>
      <c r="L3" s="38"/>
      <c r="M3" s="38"/>
      <c r="N3" s="38"/>
      <c r="O3" s="115" t="s">
        <v>205</v>
      </c>
      <c r="P3" s="114" t="s">
        <v>201</v>
      </c>
      <c r="Q3" s="114" t="s">
        <v>202</v>
      </c>
      <c r="R3" s="114" t="s">
        <v>203</v>
      </c>
      <c r="S3" s="38"/>
      <c r="T3" s="38"/>
      <c r="U3" s="38"/>
      <c r="V3" s="38"/>
    </row>
    <row r="4">
      <c r="A4" s="55" t="s">
        <v>206</v>
      </c>
      <c r="B4" s="116">
        <v>2.0</v>
      </c>
      <c r="C4" s="117">
        <v>0.9628</v>
      </c>
      <c r="D4" s="117">
        <v>1.056</v>
      </c>
      <c r="E4" s="117">
        <v>0.7274</v>
      </c>
      <c r="F4" s="38"/>
      <c r="G4" s="38"/>
      <c r="H4" s="55" t="s">
        <v>206</v>
      </c>
      <c r="I4" s="116">
        <v>1.0</v>
      </c>
      <c r="J4" s="117">
        <v>0.95</v>
      </c>
      <c r="K4" s="117">
        <v>0.65</v>
      </c>
      <c r="L4" s="38"/>
      <c r="M4" s="38"/>
      <c r="N4" s="38"/>
      <c r="O4" s="55" t="s">
        <v>206</v>
      </c>
      <c r="P4" s="116">
        <v>1.0</v>
      </c>
      <c r="Q4" s="118">
        <v>1.2083</v>
      </c>
      <c r="R4" s="118">
        <v>1.114</v>
      </c>
      <c r="S4" s="38"/>
      <c r="T4" s="38"/>
      <c r="U4" s="38"/>
      <c r="V4" s="38"/>
    </row>
    <row r="5">
      <c r="A5" s="55" t="s">
        <v>207</v>
      </c>
      <c r="B5" s="116">
        <v>2.0</v>
      </c>
      <c r="C5" s="117">
        <v>1.0393</v>
      </c>
      <c r="D5" s="117">
        <v>1.1827</v>
      </c>
      <c r="E5" s="117">
        <v>0.697</v>
      </c>
      <c r="F5" s="38"/>
      <c r="G5" s="38"/>
      <c r="H5" s="55" t="s">
        <v>207</v>
      </c>
      <c r="I5" s="116">
        <v>1.0</v>
      </c>
      <c r="J5" s="117">
        <v>0.67</v>
      </c>
      <c r="K5" s="117">
        <v>0.47</v>
      </c>
      <c r="L5" s="38"/>
      <c r="M5" s="38"/>
      <c r="N5" s="38"/>
      <c r="O5" s="55" t="s">
        <v>207</v>
      </c>
      <c r="P5" s="116">
        <v>1.0</v>
      </c>
      <c r="Q5" s="118">
        <v>0.8435</v>
      </c>
      <c r="R5" s="118">
        <v>0.761</v>
      </c>
      <c r="S5" s="38"/>
      <c r="T5" s="38"/>
      <c r="U5" s="38"/>
      <c r="V5" s="38"/>
    </row>
    <row r="6">
      <c r="A6" s="55" t="s">
        <v>208</v>
      </c>
      <c r="B6" s="116">
        <v>2.0</v>
      </c>
      <c r="C6" s="117">
        <v>0.9893</v>
      </c>
      <c r="D6" s="117">
        <v>0.9999</v>
      </c>
      <c r="E6" s="117">
        <v>0.5947</v>
      </c>
      <c r="F6" s="38"/>
      <c r="G6" s="38"/>
      <c r="H6" s="55" t="s">
        <v>208</v>
      </c>
      <c r="I6" s="116">
        <v>1.0</v>
      </c>
      <c r="J6" s="117">
        <v>0.85</v>
      </c>
      <c r="K6" s="117">
        <v>0.45</v>
      </c>
      <c r="L6" s="38"/>
      <c r="M6" s="38"/>
      <c r="N6" s="38"/>
      <c r="O6" s="55" t="s">
        <v>208</v>
      </c>
      <c r="P6" s="116">
        <v>2.0</v>
      </c>
      <c r="Q6" s="118">
        <v>0.7596</v>
      </c>
      <c r="R6" s="118">
        <v>0.8</v>
      </c>
      <c r="S6" s="38"/>
      <c r="T6" s="38"/>
      <c r="U6" s="38"/>
      <c r="V6" s="38"/>
    </row>
    <row r="7">
      <c r="A7" s="55" t="s">
        <v>209</v>
      </c>
      <c r="B7" s="116">
        <v>2.0</v>
      </c>
      <c r="C7" s="117">
        <v>0.9619308245614036</v>
      </c>
      <c r="D7" s="117">
        <v>1.0421590874074074</v>
      </c>
      <c r="E7" s="50">
        <v>0.6941371185185186</v>
      </c>
      <c r="F7" s="38"/>
      <c r="G7" s="38"/>
      <c r="H7" s="55" t="s">
        <v>209</v>
      </c>
      <c r="I7" s="116">
        <v>2.0</v>
      </c>
      <c r="J7" s="50">
        <v>1.2904762962962963</v>
      </c>
      <c r="K7" s="50">
        <v>1.426417018181818</v>
      </c>
      <c r="L7" s="38"/>
      <c r="M7" s="38"/>
      <c r="N7" s="38"/>
      <c r="O7" s="55" t="s">
        <v>209</v>
      </c>
      <c r="P7" s="116">
        <v>1.0</v>
      </c>
      <c r="Q7" s="118">
        <v>0.6387</v>
      </c>
      <c r="R7" s="118">
        <v>0.628</v>
      </c>
      <c r="S7" s="38"/>
      <c r="T7" s="38"/>
      <c r="U7" s="38"/>
      <c r="V7" s="38"/>
    </row>
    <row r="8">
      <c r="A8" s="55" t="s">
        <v>210</v>
      </c>
      <c r="B8" s="116">
        <v>2.0</v>
      </c>
      <c r="C8" s="50">
        <v>1.0342116675900277</v>
      </c>
      <c r="D8" s="50">
        <v>1.03859246877193</v>
      </c>
      <c r="E8" s="50">
        <v>0.6659882456140351</v>
      </c>
      <c r="F8" s="38"/>
      <c r="G8" s="38"/>
      <c r="H8" s="55" t="s">
        <v>210</v>
      </c>
      <c r="I8" s="116">
        <v>1.0</v>
      </c>
      <c r="J8" s="50">
        <f>85972295/72000000</f>
        <v>1.194059653</v>
      </c>
      <c r="K8" s="50">
        <f>85356341/75000000</f>
        <v>1.138084547</v>
      </c>
      <c r="L8" s="38"/>
      <c r="M8" s="38"/>
      <c r="N8" s="38"/>
      <c r="O8" s="55" t="s">
        <v>210</v>
      </c>
      <c r="P8" s="116">
        <v>2.0</v>
      </c>
      <c r="Q8" s="118">
        <v>0.7475</v>
      </c>
      <c r="R8" s="118">
        <v>0.77</v>
      </c>
      <c r="S8" s="38"/>
      <c r="T8" s="38"/>
      <c r="U8" s="38"/>
      <c r="V8" s="38"/>
    </row>
    <row r="9">
      <c r="A9" s="55" t="s">
        <v>211</v>
      </c>
      <c r="B9" s="116">
        <v>2.0</v>
      </c>
      <c r="C9" s="117">
        <v>0.9348</v>
      </c>
      <c r="D9" s="117">
        <v>0.9799</v>
      </c>
      <c r="E9" s="117">
        <v>0.65</v>
      </c>
      <c r="F9" s="38"/>
      <c r="G9" s="38"/>
      <c r="H9" s="55" t="s">
        <v>211</v>
      </c>
      <c r="I9" s="116">
        <v>2.0</v>
      </c>
      <c r="J9" s="117">
        <v>0.92</v>
      </c>
      <c r="K9" s="117">
        <v>1.42</v>
      </c>
      <c r="L9" s="38"/>
      <c r="M9" s="38"/>
      <c r="N9" s="38"/>
      <c r="O9" s="55" t="s">
        <v>211</v>
      </c>
      <c r="P9" s="116">
        <v>1.0</v>
      </c>
      <c r="Q9" s="118">
        <v>0.5933</v>
      </c>
      <c r="R9" s="118">
        <v>0.576</v>
      </c>
      <c r="S9" s="38"/>
      <c r="T9" s="38"/>
      <c r="U9" s="38"/>
      <c r="V9" s="38"/>
    </row>
    <row r="10">
      <c r="A10" s="55" t="s">
        <v>212</v>
      </c>
      <c r="B10" s="116">
        <v>2.0</v>
      </c>
      <c r="C10" s="117">
        <v>1.07</v>
      </c>
      <c r="D10" s="117">
        <v>1.12</v>
      </c>
      <c r="E10" s="117">
        <v>0.65</v>
      </c>
      <c r="F10" s="38"/>
      <c r="G10" s="38"/>
      <c r="H10" s="55" t="s">
        <v>212</v>
      </c>
      <c r="I10" s="116">
        <v>1.0</v>
      </c>
      <c r="J10" s="117">
        <v>1.49</v>
      </c>
      <c r="K10" s="117">
        <v>1.45</v>
      </c>
      <c r="L10" s="38"/>
      <c r="M10" s="38"/>
      <c r="N10" s="38"/>
      <c r="O10" s="55" t="s">
        <v>212</v>
      </c>
      <c r="P10" s="116">
        <v>2.0</v>
      </c>
      <c r="Q10" s="118">
        <v>0.847</v>
      </c>
      <c r="R10" s="118">
        <v>0.902</v>
      </c>
      <c r="S10" s="38"/>
      <c r="T10" s="38"/>
      <c r="U10" s="38"/>
      <c r="V10" s="38"/>
    </row>
    <row r="11">
      <c r="A11" s="55" t="s">
        <v>213</v>
      </c>
      <c r="B11" s="116">
        <v>2.0</v>
      </c>
      <c r="C11" s="117">
        <v>0.97</v>
      </c>
      <c r="D11" s="117">
        <v>1.22</v>
      </c>
      <c r="E11" s="117">
        <v>0.64</v>
      </c>
      <c r="F11" s="38"/>
      <c r="G11" s="38"/>
      <c r="H11" s="55" t="s">
        <v>213</v>
      </c>
      <c r="I11" s="116">
        <v>2.0</v>
      </c>
      <c r="J11" s="117">
        <v>1.06</v>
      </c>
      <c r="K11" s="117">
        <v>1.5</v>
      </c>
      <c r="L11" s="38"/>
      <c r="M11" s="38"/>
      <c r="N11" s="38"/>
      <c r="O11" s="55" t="s">
        <v>213</v>
      </c>
      <c r="P11" s="116">
        <v>1.0</v>
      </c>
      <c r="Q11" s="118">
        <v>0.837</v>
      </c>
      <c r="R11" s="118">
        <v>0.779</v>
      </c>
      <c r="S11" s="38"/>
      <c r="T11" s="38"/>
      <c r="U11" s="38"/>
      <c r="V11" s="38"/>
    </row>
    <row r="12">
      <c r="A12" s="55" t="s">
        <v>214</v>
      </c>
      <c r="B12" s="116">
        <v>2.0</v>
      </c>
      <c r="C12" s="117">
        <v>1.12</v>
      </c>
      <c r="D12" s="117">
        <v>1.25</v>
      </c>
      <c r="E12" s="50"/>
      <c r="F12" s="38"/>
      <c r="G12" s="38"/>
      <c r="H12" s="55" t="s">
        <v>214</v>
      </c>
      <c r="I12" s="116">
        <v>2.0</v>
      </c>
      <c r="J12" s="117">
        <v>1.03</v>
      </c>
      <c r="K12" s="117">
        <v>1.69</v>
      </c>
      <c r="L12" s="38"/>
      <c r="M12" s="38"/>
      <c r="N12" s="38"/>
      <c r="O12" s="55" t="s">
        <v>214</v>
      </c>
      <c r="P12" s="116">
        <v>2.0</v>
      </c>
      <c r="Q12" s="118">
        <v>0.746</v>
      </c>
      <c r="R12" s="118">
        <v>0.852</v>
      </c>
      <c r="S12" s="38"/>
      <c r="T12" s="38"/>
      <c r="U12" s="38"/>
      <c r="V12" s="38"/>
    </row>
    <row r="13">
      <c r="A13" s="55" t="s">
        <v>215</v>
      </c>
      <c r="B13" s="38"/>
      <c r="C13" s="38"/>
      <c r="D13" s="38"/>
      <c r="E13" s="38"/>
      <c r="F13" s="38"/>
      <c r="G13" s="38"/>
      <c r="H13" s="55" t="s">
        <v>215</v>
      </c>
      <c r="I13" s="38"/>
      <c r="J13" s="38"/>
      <c r="K13" s="38"/>
      <c r="L13" s="38"/>
      <c r="M13" s="38"/>
      <c r="N13" s="38"/>
      <c r="O13" s="55" t="s">
        <v>215</v>
      </c>
      <c r="P13" s="116">
        <v>1.0</v>
      </c>
      <c r="Q13" s="118">
        <v>0.765</v>
      </c>
      <c r="R13" s="118">
        <v>0.339</v>
      </c>
      <c r="S13" s="38"/>
      <c r="T13" s="38"/>
      <c r="U13" s="38"/>
      <c r="V13" s="38"/>
    </row>
    <row r="14">
      <c r="A14" s="55" t="s">
        <v>216</v>
      </c>
      <c r="B14" s="38"/>
      <c r="C14" s="38"/>
      <c r="D14" s="38"/>
      <c r="E14" s="38"/>
      <c r="F14" s="38"/>
      <c r="G14" s="38"/>
      <c r="H14" s="55" t="s">
        <v>216</v>
      </c>
      <c r="I14" s="38"/>
      <c r="J14" s="38"/>
      <c r="K14" s="38"/>
      <c r="L14" s="38"/>
      <c r="M14" s="38"/>
      <c r="N14" s="38"/>
      <c r="O14" s="55" t="s">
        <v>216</v>
      </c>
      <c r="P14" s="38"/>
      <c r="Q14" s="38"/>
      <c r="R14" s="38"/>
      <c r="S14" s="38"/>
      <c r="T14" s="38"/>
      <c r="U14" s="38"/>
      <c r="V14" s="38"/>
    </row>
    <row r="15">
      <c r="A15" s="55" t="s">
        <v>217</v>
      </c>
      <c r="B15" s="38"/>
      <c r="C15" s="38"/>
      <c r="D15" s="38"/>
      <c r="E15" s="38"/>
      <c r="F15" s="38"/>
      <c r="G15" s="38"/>
      <c r="H15" s="55" t="s">
        <v>217</v>
      </c>
      <c r="I15" s="38"/>
      <c r="J15" s="38"/>
      <c r="K15" s="38"/>
      <c r="L15" s="38"/>
      <c r="M15" s="38"/>
      <c r="N15" s="38"/>
      <c r="O15" s="55" t="s">
        <v>217</v>
      </c>
      <c r="P15" s="38"/>
      <c r="Q15" s="38"/>
      <c r="R15" s="38"/>
      <c r="S15" s="38"/>
      <c r="T15" s="38"/>
      <c r="U15" s="38"/>
      <c r="V15" s="38"/>
    </row>
    <row r="16">
      <c r="A16" s="38"/>
      <c r="B16" s="38"/>
      <c r="C16" s="119">
        <f t="shared" ref="C16:E16" si="1">average(C4:C15)</f>
        <v>1.009149166</v>
      </c>
      <c r="D16" s="119">
        <f t="shared" si="1"/>
        <v>1.098805728</v>
      </c>
      <c r="E16" s="119">
        <f t="shared" si="1"/>
        <v>0.6649031705</v>
      </c>
      <c r="F16" s="38"/>
      <c r="G16" s="38"/>
      <c r="H16" s="38"/>
      <c r="I16" s="38"/>
      <c r="J16" s="120">
        <f t="shared" ref="J16:K16" si="2">average(J4:J15)</f>
        <v>1.050503994</v>
      </c>
      <c r="K16" s="50">
        <f t="shared" si="2"/>
        <v>1.132722396</v>
      </c>
      <c r="L16" s="38"/>
      <c r="M16" s="38"/>
      <c r="N16" s="38"/>
      <c r="O16" s="38"/>
      <c r="P16" s="38"/>
      <c r="Q16" s="120">
        <f t="shared" ref="Q16:R16" si="3">average(Q4:Q15)</f>
        <v>0.79859</v>
      </c>
      <c r="R16" s="120">
        <f t="shared" si="3"/>
        <v>0.7521</v>
      </c>
      <c r="S16" s="119">
        <f>Q16-R16</f>
        <v>0.04649</v>
      </c>
      <c r="T16" s="38"/>
      <c r="U16" s="38"/>
      <c r="V16" s="38"/>
    </row>
    <row r="17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</row>
    <row r="18">
      <c r="A18" s="114" t="s">
        <v>200</v>
      </c>
      <c r="F18" s="121"/>
      <c r="G18" s="38"/>
      <c r="H18" s="114" t="s">
        <v>200</v>
      </c>
      <c r="N18" s="38"/>
      <c r="O18" s="114" t="s">
        <v>200</v>
      </c>
      <c r="V18" s="38"/>
    </row>
    <row r="19">
      <c r="A19" s="115" t="s">
        <v>218</v>
      </c>
      <c r="B19" s="114" t="s">
        <v>201</v>
      </c>
      <c r="C19" s="114" t="s">
        <v>202</v>
      </c>
      <c r="D19" s="122" t="s">
        <v>219</v>
      </c>
      <c r="E19" s="122" t="s">
        <v>220</v>
      </c>
      <c r="F19" s="121" t="s">
        <v>221</v>
      </c>
      <c r="G19" s="38"/>
      <c r="H19" s="115" t="s">
        <v>29</v>
      </c>
      <c r="I19" s="114" t="s">
        <v>201</v>
      </c>
      <c r="J19" s="114" t="s">
        <v>202</v>
      </c>
      <c r="K19" s="122" t="s">
        <v>222</v>
      </c>
      <c r="L19" s="122" t="s">
        <v>220</v>
      </c>
      <c r="M19" s="114"/>
      <c r="N19" s="38"/>
      <c r="O19" s="115" t="s">
        <v>31</v>
      </c>
      <c r="P19" s="114" t="s">
        <v>201</v>
      </c>
      <c r="Q19" s="122" t="s">
        <v>202</v>
      </c>
      <c r="R19" s="122" t="s">
        <v>223</v>
      </c>
      <c r="S19" s="122" t="s">
        <v>219</v>
      </c>
      <c r="T19" s="122" t="s">
        <v>224</v>
      </c>
      <c r="U19" s="122" t="s">
        <v>225</v>
      </c>
      <c r="V19" s="38"/>
    </row>
    <row r="20">
      <c r="A20" s="55" t="s">
        <v>206</v>
      </c>
      <c r="B20" s="123">
        <v>2.0</v>
      </c>
      <c r="C20" s="117">
        <v>0.64</v>
      </c>
      <c r="D20" s="117">
        <v>0.57</v>
      </c>
      <c r="E20" s="117">
        <v>0.66</v>
      </c>
      <c r="F20" s="38"/>
      <c r="G20" s="38"/>
      <c r="H20" s="55" t="s">
        <v>206</v>
      </c>
      <c r="I20" s="116">
        <v>1.0</v>
      </c>
      <c r="J20" s="124">
        <v>1.12</v>
      </c>
      <c r="K20" s="124">
        <v>0.92</v>
      </c>
      <c r="L20" s="124">
        <v>0.98</v>
      </c>
      <c r="M20" s="38"/>
      <c r="N20" s="38"/>
      <c r="O20" s="55" t="s">
        <v>206</v>
      </c>
      <c r="P20" s="116">
        <v>4.0</v>
      </c>
      <c r="Q20" s="118">
        <v>0.787</v>
      </c>
      <c r="R20" s="118">
        <v>0.9231</v>
      </c>
      <c r="S20" s="118">
        <v>0.8788</v>
      </c>
      <c r="T20" s="118">
        <v>0.7318</v>
      </c>
      <c r="U20" s="118">
        <v>0.8925</v>
      </c>
      <c r="V20" s="38"/>
    </row>
    <row r="21">
      <c r="A21" s="55" t="s">
        <v>207</v>
      </c>
      <c r="B21" s="116">
        <v>3.0</v>
      </c>
      <c r="C21" s="117">
        <v>0.76</v>
      </c>
      <c r="D21" s="117">
        <v>0.99</v>
      </c>
      <c r="E21" s="117">
        <v>0.8</v>
      </c>
      <c r="F21" s="38"/>
      <c r="G21" s="38"/>
      <c r="H21" s="55" t="s">
        <v>207</v>
      </c>
      <c r="I21" s="116">
        <v>3.0</v>
      </c>
      <c r="J21" s="124">
        <v>0.9</v>
      </c>
      <c r="K21" s="124">
        <v>1.03</v>
      </c>
      <c r="L21" s="124">
        <v>0.9</v>
      </c>
      <c r="M21" s="38"/>
      <c r="N21" s="38"/>
      <c r="O21" s="55" t="s">
        <v>207</v>
      </c>
      <c r="P21" s="116">
        <v>4.0</v>
      </c>
      <c r="Q21" s="118">
        <v>0.8573</v>
      </c>
      <c r="R21" s="118">
        <v>0.825</v>
      </c>
      <c r="S21" s="118">
        <v>1.0236</v>
      </c>
      <c r="T21" s="118">
        <v>0.9314</v>
      </c>
      <c r="U21" s="118">
        <v>1.0042</v>
      </c>
      <c r="V21" s="38"/>
    </row>
    <row r="22">
      <c r="A22" s="55" t="s">
        <v>208</v>
      </c>
      <c r="B22" s="116">
        <v>3.0</v>
      </c>
      <c r="C22" s="117">
        <v>0.73</v>
      </c>
      <c r="D22" s="117">
        <v>0.7</v>
      </c>
      <c r="E22" s="117">
        <v>0.74</v>
      </c>
      <c r="F22" s="38"/>
      <c r="G22" s="38"/>
      <c r="H22" s="55" t="s">
        <v>208</v>
      </c>
      <c r="I22" s="116">
        <v>3.0</v>
      </c>
      <c r="J22" s="124">
        <v>1.01</v>
      </c>
      <c r="K22" s="124">
        <v>1.12</v>
      </c>
      <c r="L22" s="124">
        <v>1.13</v>
      </c>
      <c r="M22" s="38"/>
      <c r="N22" s="38"/>
      <c r="O22" s="55" t="s">
        <v>208</v>
      </c>
      <c r="P22" s="116">
        <v>3.0</v>
      </c>
      <c r="Q22" s="118">
        <v>0.6972</v>
      </c>
      <c r="R22" s="118">
        <v>0.8028</v>
      </c>
      <c r="S22" s="118">
        <v>0.645</v>
      </c>
      <c r="T22" s="118">
        <v>0.715</v>
      </c>
      <c r="U22" s="118">
        <v>0.5947</v>
      </c>
      <c r="V22" s="38"/>
    </row>
    <row r="23">
      <c r="A23" s="55" t="s">
        <v>209</v>
      </c>
      <c r="B23" s="55"/>
      <c r="C23" s="118">
        <v>0.85</v>
      </c>
      <c r="D23" s="117">
        <v>0.96</v>
      </c>
      <c r="E23" s="117">
        <v>0.8</v>
      </c>
      <c r="F23" s="38"/>
      <c r="G23" s="38"/>
      <c r="H23" s="55" t="s">
        <v>209</v>
      </c>
      <c r="I23" s="55"/>
      <c r="J23" s="124">
        <v>0.89</v>
      </c>
      <c r="K23" s="124">
        <v>1.18</v>
      </c>
      <c r="L23" s="124">
        <v>0.98</v>
      </c>
      <c r="M23" s="38"/>
      <c r="N23" s="38"/>
      <c r="O23" s="55" t="s">
        <v>209</v>
      </c>
      <c r="P23" s="55"/>
      <c r="Q23" s="118">
        <v>0.8636</v>
      </c>
      <c r="R23" s="118">
        <v>0.8251</v>
      </c>
      <c r="S23" s="118">
        <v>0.9493</v>
      </c>
      <c r="T23" s="118">
        <v>0.7483</v>
      </c>
      <c r="U23" s="118">
        <v>0.7574</v>
      </c>
      <c r="V23" s="38"/>
    </row>
    <row r="24">
      <c r="A24" s="55" t="s">
        <v>210</v>
      </c>
      <c r="B24" s="55"/>
      <c r="C24" s="118">
        <v>0.91</v>
      </c>
      <c r="D24" s="117">
        <v>0.99</v>
      </c>
      <c r="E24" s="117">
        <v>0.97</v>
      </c>
      <c r="F24" s="38"/>
      <c r="G24" s="38"/>
      <c r="H24" s="55" t="s">
        <v>210</v>
      </c>
      <c r="I24" s="55"/>
      <c r="J24" s="124">
        <v>0.44</v>
      </c>
      <c r="K24" s="124">
        <v>0.81</v>
      </c>
      <c r="L24" s="124">
        <v>0.53</v>
      </c>
      <c r="M24" s="38"/>
      <c r="N24" s="38"/>
      <c r="O24" s="55" t="s">
        <v>210</v>
      </c>
      <c r="P24" s="55"/>
      <c r="Q24" s="118">
        <v>0.6904</v>
      </c>
      <c r="R24" s="118">
        <v>0.616</v>
      </c>
      <c r="S24" s="118">
        <v>0.7504</v>
      </c>
      <c r="T24" s="118">
        <v>0.6964</v>
      </c>
      <c r="U24" s="118">
        <v>0.5786</v>
      </c>
      <c r="V24" s="38"/>
    </row>
    <row r="25">
      <c r="A25" s="55" t="s">
        <v>211</v>
      </c>
      <c r="B25" s="55"/>
      <c r="C25" s="118">
        <v>1.0</v>
      </c>
      <c r="D25" s="117">
        <v>0.82</v>
      </c>
      <c r="E25" s="117">
        <v>0.99</v>
      </c>
      <c r="F25" s="38"/>
      <c r="G25" s="38"/>
      <c r="H25" s="55" t="s">
        <v>211</v>
      </c>
      <c r="I25" s="55"/>
      <c r="J25" s="124">
        <v>0.88</v>
      </c>
      <c r="K25" s="124">
        <v>1.0</v>
      </c>
      <c r="L25" s="124">
        <v>0.61</v>
      </c>
      <c r="M25" s="38"/>
      <c r="N25" s="38"/>
      <c r="O25" s="55" t="s">
        <v>211</v>
      </c>
      <c r="P25" s="55"/>
      <c r="Q25" s="118">
        <v>1.1669</v>
      </c>
      <c r="R25" s="118">
        <v>1.1453</v>
      </c>
      <c r="S25" s="118">
        <v>0.9023</v>
      </c>
      <c r="T25" s="118">
        <v>1.0806</v>
      </c>
      <c r="U25" s="118">
        <v>0.6776</v>
      </c>
      <c r="V25" s="38"/>
    </row>
    <row r="26">
      <c r="A26" s="55" t="s">
        <v>212</v>
      </c>
      <c r="B26" s="55"/>
      <c r="C26" s="118">
        <v>0.95</v>
      </c>
      <c r="D26" s="125">
        <v>0.84</v>
      </c>
      <c r="E26" s="126">
        <v>0.86</v>
      </c>
      <c r="F26" s="38"/>
      <c r="G26" s="127"/>
      <c r="H26" s="55" t="s">
        <v>212</v>
      </c>
      <c r="I26" s="55"/>
      <c r="J26" s="124">
        <v>0.41</v>
      </c>
      <c r="K26" s="124">
        <v>0.77</v>
      </c>
      <c r="L26" s="124">
        <v>0.52</v>
      </c>
      <c r="M26" s="38"/>
      <c r="N26" s="38"/>
      <c r="O26" s="55" t="s">
        <v>212</v>
      </c>
      <c r="P26" s="55"/>
      <c r="Q26" s="118">
        <v>1.1188</v>
      </c>
      <c r="R26" s="126">
        <v>1.0289</v>
      </c>
      <c r="S26" s="126">
        <v>0.8062</v>
      </c>
      <c r="T26" s="126">
        <v>0.9402</v>
      </c>
      <c r="U26" s="126">
        <v>0.8193</v>
      </c>
      <c r="V26" s="38"/>
    </row>
    <row r="27">
      <c r="A27" s="55" t="s">
        <v>213</v>
      </c>
      <c r="B27" s="38"/>
      <c r="C27" s="127">
        <v>0.78</v>
      </c>
      <c r="D27" s="127">
        <v>0.71</v>
      </c>
      <c r="E27" s="127">
        <v>0.71</v>
      </c>
      <c r="F27" s="38"/>
      <c r="G27" s="127"/>
      <c r="H27" s="55" t="s">
        <v>213</v>
      </c>
      <c r="I27" s="38"/>
      <c r="J27" s="124">
        <v>0.44</v>
      </c>
      <c r="K27" s="124">
        <v>0.92</v>
      </c>
      <c r="L27" s="124">
        <v>0.75</v>
      </c>
      <c r="M27" s="38"/>
      <c r="N27" s="38"/>
      <c r="O27" s="55" t="s">
        <v>213</v>
      </c>
      <c r="P27" s="55"/>
      <c r="Q27" s="118">
        <v>1.2166</v>
      </c>
      <c r="R27" s="118">
        <v>1.2542</v>
      </c>
      <c r="S27" s="118">
        <v>1.0768</v>
      </c>
      <c r="T27" s="118">
        <v>1.1905</v>
      </c>
      <c r="U27" s="118">
        <v>1.1871</v>
      </c>
      <c r="V27" s="38"/>
    </row>
    <row r="28">
      <c r="A28" s="55" t="s">
        <v>214</v>
      </c>
      <c r="B28" s="38"/>
      <c r="C28" s="127">
        <v>0.63</v>
      </c>
      <c r="D28" s="127">
        <v>0.53</v>
      </c>
      <c r="E28" s="127">
        <v>0.58</v>
      </c>
      <c r="F28" s="38"/>
      <c r="G28" s="127"/>
      <c r="H28" s="55" t="s">
        <v>214</v>
      </c>
      <c r="I28" s="38"/>
      <c r="J28" s="124">
        <v>0.43</v>
      </c>
      <c r="K28" s="124">
        <v>1.08</v>
      </c>
      <c r="L28" s="124">
        <v>0.77</v>
      </c>
      <c r="M28" s="38"/>
      <c r="N28" s="38"/>
      <c r="O28" s="55" t="s">
        <v>214</v>
      </c>
      <c r="P28" s="55"/>
      <c r="Q28" s="50"/>
      <c r="R28" s="38"/>
      <c r="S28" s="38"/>
      <c r="T28" s="38"/>
      <c r="U28" s="38"/>
      <c r="V28" s="38"/>
    </row>
    <row r="29">
      <c r="A29" s="55" t="s">
        <v>215</v>
      </c>
      <c r="B29" s="38"/>
      <c r="C29" s="127">
        <v>1.33</v>
      </c>
      <c r="D29" s="127">
        <v>1.66</v>
      </c>
      <c r="E29" s="127">
        <v>1.16</v>
      </c>
      <c r="F29" s="38"/>
      <c r="G29" s="38"/>
      <c r="H29" s="55" t="s">
        <v>215</v>
      </c>
      <c r="I29" s="38"/>
      <c r="J29" s="117">
        <v>0.41</v>
      </c>
      <c r="K29" s="117">
        <v>1.13</v>
      </c>
      <c r="L29" s="117">
        <v>0.62</v>
      </c>
      <c r="M29" s="38"/>
      <c r="N29" s="38"/>
      <c r="O29" s="55" t="s">
        <v>215</v>
      </c>
      <c r="P29" s="38"/>
      <c r="Q29" s="38"/>
      <c r="R29" s="38"/>
      <c r="S29" s="38"/>
      <c r="T29" s="38"/>
      <c r="U29" s="38"/>
      <c r="V29" s="38"/>
    </row>
    <row r="30">
      <c r="A30" s="55" t="s">
        <v>216</v>
      </c>
      <c r="B30" s="38"/>
      <c r="C30" s="38"/>
      <c r="D30" s="38"/>
      <c r="E30" s="38"/>
      <c r="F30" s="38"/>
      <c r="G30" s="38"/>
      <c r="H30" s="55" t="s">
        <v>216</v>
      </c>
      <c r="I30" s="38"/>
      <c r="J30" s="38"/>
      <c r="K30" s="38"/>
      <c r="L30" s="38"/>
      <c r="M30" s="38"/>
      <c r="N30" s="38"/>
      <c r="O30" s="55" t="s">
        <v>216</v>
      </c>
      <c r="P30" s="38"/>
      <c r="Q30" s="38"/>
      <c r="R30" s="38"/>
      <c r="S30" s="38"/>
      <c r="T30" s="38"/>
      <c r="U30" s="38"/>
      <c r="V30" s="38"/>
    </row>
    <row r="31">
      <c r="A31" s="55" t="s">
        <v>217</v>
      </c>
      <c r="B31" s="38"/>
      <c r="C31" s="127"/>
      <c r="D31" s="127"/>
      <c r="E31" s="127"/>
      <c r="F31" s="38"/>
      <c r="G31" s="38"/>
      <c r="H31" s="55" t="s">
        <v>217</v>
      </c>
      <c r="I31" s="38"/>
      <c r="J31" s="38"/>
      <c r="K31" s="38"/>
      <c r="L31" s="38"/>
      <c r="M31" s="38"/>
      <c r="N31" s="38"/>
      <c r="O31" s="55" t="s">
        <v>217</v>
      </c>
      <c r="P31" s="38"/>
      <c r="Q31" s="38"/>
      <c r="R31" s="38"/>
      <c r="S31" s="38"/>
      <c r="T31" s="38"/>
      <c r="U31" s="38"/>
      <c r="V31" s="38"/>
    </row>
    <row r="32">
      <c r="A32" s="38"/>
      <c r="B32" s="38"/>
      <c r="C32" s="128">
        <v>0.87</v>
      </c>
      <c r="D32" s="128">
        <v>0.88</v>
      </c>
      <c r="E32" s="127">
        <v>0.83</v>
      </c>
      <c r="F32" s="38"/>
      <c r="G32" s="38"/>
      <c r="H32" s="38"/>
      <c r="I32" s="38"/>
      <c r="J32" s="118">
        <v>0.7</v>
      </c>
      <c r="K32" s="118">
        <v>0.99</v>
      </c>
      <c r="L32" s="118">
        <v>0.78</v>
      </c>
      <c r="M32" s="38"/>
      <c r="N32" s="38"/>
      <c r="O32" s="116" t="s">
        <v>226</v>
      </c>
      <c r="P32" s="38"/>
      <c r="Q32" s="118">
        <v>0.8698</v>
      </c>
      <c r="R32" s="118">
        <v>0.875</v>
      </c>
      <c r="S32" s="118">
        <v>0.8417</v>
      </c>
      <c r="T32" s="118">
        <v>0.8358</v>
      </c>
      <c r="U32" s="118">
        <v>0.7533</v>
      </c>
      <c r="V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120">
        <f>R32-Q32</f>
        <v>0.0052</v>
      </c>
      <c r="S33" s="38"/>
      <c r="T33" s="38"/>
      <c r="U33" s="38"/>
      <c r="V33" s="38"/>
    </row>
    <row r="34">
      <c r="A34" s="114" t="s">
        <v>200</v>
      </c>
      <c r="G34" s="38"/>
      <c r="H34" s="114" t="s">
        <v>200</v>
      </c>
      <c r="N34" s="38"/>
      <c r="O34" s="114" t="s">
        <v>200</v>
      </c>
      <c r="U34" s="38"/>
      <c r="V34" s="38"/>
    </row>
    <row r="35">
      <c r="A35" s="115" t="s">
        <v>227</v>
      </c>
      <c r="B35" s="114" t="s">
        <v>201</v>
      </c>
      <c r="C35" s="114" t="s">
        <v>202</v>
      </c>
      <c r="D35" s="129"/>
      <c r="E35" s="129"/>
      <c r="F35" s="129"/>
      <c r="G35" s="38"/>
      <c r="H35" s="115" t="s">
        <v>25</v>
      </c>
      <c r="I35" s="114" t="s">
        <v>201</v>
      </c>
      <c r="J35" s="114" t="s">
        <v>202</v>
      </c>
      <c r="K35" s="129"/>
      <c r="L35" s="129"/>
      <c r="M35" s="129"/>
      <c r="N35" s="38"/>
      <c r="O35" s="115" t="s">
        <v>43</v>
      </c>
      <c r="P35" s="114" t="s">
        <v>201</v>
      </c>
      <c r="Q35" s="114" t="s">
        <v>202</v>
      </c>
      <c r="R35" s="114" t="s">
        <v>203</v>
      </c>
      <c r="S35" s="114" t="s">
        <v>204</v>
      </c>
      <c r="T35" s="114" t="s">
        <v>221</v>
      </c>
      <c r="U35" s="38"/>
      <c r="V35" s="38"/>
    </row>
    <row r="36">
      <c r="A36" s="55" t="s">
        <v>206</v>
      </c>
      <c r="B36" s="38"/>
      <c r="C36" s="50"/>
      <c r="D36" s="38"/>
      <c r="E36" s="38"/>
      <c r="F36" s="38"/>
      <c r="G36" s="38"/>
      <c r="H36" s="55" t="s">
        <v>206</v>
      </c>
      <c r="I36" s="130"/>
      <c r="J36" s="120"/>
      <c r="K36" s="38"/>
      <c r="L36" s="38"/>
      <c r="M36" s="38"/>
      <c r="N36" s="38"/>
      <c r="O36" s="55" t="s">
        <v>206</v>
      </c>
      <c r="P36" s="38"/>
      <c r="Q36" s="118">
        <v>1.27</v>
      </c>
      <c r="R36" s="38"/>
      <c r="S36" s="38"/>
      <c r="T36" s="38"/>
      <c r="U36" s="38"/>
      <c r="V36" s="38"/>
    </row>
    <row r="37">
      <c r="A37" s="55" t="s">
        <v>207</v>
      </c>
      <c r="B37" s="38"/>
      <c r="C37" s="120"/>
      <c r="D37" s="38"/>
      <c r="E37" s="38"/>
      <c r="F37" s="38"/>
      <c r="G37" s="38"/>
      <c r="H37" s="55" t="s">
        <v>207</v>
      </c>
      <c r="I37" s="130"/>
      <c r="J37" s="50"/>
      <c r="K37" s="38"/>
      <c r="L37" s="38"/>
      <c r="M37" s="38"/>
      <c r="N37" s="38"/>
      <c r="O37" s="55" t="s">
        <v>207</v>
      </c>
      <c r="P37" s="38"/>
      <c r="Q37" s="118">
        <v>1.07</v>
      </c>
      <c r="R37" s="38"/>
      <c r="S37" s="38"/>
      <c r="T37" s="38"/>
      <c r="U37" s="38"/>
      <c r="V37" s="38"/>
    </row>
    <row r="38">
      <c r="A38" s="55" t="s">
        <v>208</v>
      </c>
      <c r="B38" s="38"/>
      <c r="C38" s="120"/>
      <c r="D38" s="38"/>
      <c r="E38" s="38"/>
      <c r="F38" s="38"/>
      <c r="G38" s="38"/>
      <c r="H38" s="55" t="s">
        <v>208</v>
      </c>
      <c r="I38" s="130"/>
      <c r="J38" s="120"/>
      <c r="K38" s="38"/>
      <c r="L38" s="38"/>
      <c r="M38" s="38"/>
      <c r="N38" s="38"/>
      <c r="O38" s="55" t="s">
        <v>208</v>
      </c>
      <c r="P38" s="38"/>
      <c r="Q38" s="118">
        <v>1.03</v>
      </c>
      <c r="R38" s="38"/>
      <c r="S38" s="38"/>
      <c r="T38" s="38"/>
      <c r="U38" s="38"/>
      <c r="V38" s="38"/>
    </row>
    <row r="39">
      <c r="A39" s="55" t="s">
        <v>209</v>
      </c>
      <c r="B39" s="38"/>
      <c r="C39" s="120"/>
      <c r="D39" s="38"/>
      <c r="E39" s="38"/>
      <c r="F39" s="38"/>
      <c r="G39" s="38"/>
      <c r="H39" s="55" t="s">
        <v>209</v>
      </c>
      <c r="I39" s="130"/>
      <c r="J39" s="120"/>
      <c r="K39" s="38"/>
      <c r="L39" s="38"/>
      <c r="M39" s="38"/>
      <c r="N39" s="38"/>
      <c r="O39" s="55" t="s">
        <v>209</v>
      </c>
      <c r="P39" s="130"/>
      <c r="Q39" s="118">
        <v>1.0</v>
      </c>
      <c r="R39" s="38"/>
      <c r="S39" s="38"/>
      <c r="T39" s="38"/>
      <c r="U39" s="38"/>
      <c r="V39" s="38"/>
    </row>
    <row r="40">
      <c r="A40" s="55" t="s">
        <v>210</v>
      </c>
      <c r="B40" s="130"/>
      <c r="C40" s="120"/>
      <c r="D40" s="38"/>
      <c r="E40" s="38"/>
      <c r="F40" s="38"/>
      <c r="G40" s="38"/>
      <c r="H40" s="55" t="s">
        <v>210</v>
      </c>
      <c r="I40" s="130"/>
      <c r="J40" s="120"/>
      <c r="K40" s="38"/>
      <c r="L40" s="38"/>
      <c r="M40" s="38"/>
      <c r="N40" s="38"/>
      <c r="O40" s="55" t="s">
        <v>210</v>
      </c>
      <c r="P40" s="130"/>
      <c r="Q40" s="118">
        <v>1.12</v>
      </c>
      <c r="R40" s="38"/>
      <c r="S40" s="38"/>
      <c r="T40" s="38"/>
      <c r="U40" s="38"/>
      <c r="V40" s="38"/>
    </row>
    <row r="41">
      <c r="A41" s="55" t="s">
        <v>211</v>
      </c>
      <c r="B41" s="130"/>
      <c r="C41" s="120"/>
      <c r="D41" s="38"/>
      <c r="E41" s="38"/>
      <c r="F41" s="38"/>
      <c r="G41" s="38"/>
      <c r="H41" s="55" t="s">
        <v>211</v>
      </c>
      <c r="I41" s="130"/>
      <c r="J41" s="120"/>
      <c r="K41" s="38"/>
      <c r="L41" s="38"/>
      <c r="M41" s="38"/>
      <c r="N41" s="38"/>
      <c r="O41" s="55" t="s">
        <v>211</v>
      </c>
      <c r="P41" s="130"/>
      <c r="Q41" s="118">
        <v>1.37</v>
      </c>
      <c r="R41" s="38"/>
      <c r="S41" s="38"/>
      <c r="T41" s="38"/>
      <c r="U41" s="38"/>
      <c r="V41" s="38"/>
    </row>
    <row r="42">
      <c r="A42" s="55" t="s">
        <v>212</v>
      </c>
      <c r="B42" s="130"/>
      <c r="C42" s="120"/>
      <c r="D42" s="38"/>
      <c r="E42" s="38"/>
      <c r="F42" s="38"/>
      <c r="G42" s="38"/>
      <c r="H42" s="55" t="s">
        <v>212</v>
      </c>
      <c r="I42" s="130"/>
      <c r="J42" s="120"/>
      <c r="K42" s="38"/>
      <c r="L42" s="38"/>
      <c r="M42" s="38"/>
      <c r="N42" s="38"/>
      <c r="O42" s="55" t="s">
        <v>212</v>
      </c>
      <c r="P42" s="130"/>
      <c r="Q42" s="118">
        <v>1.43</v>
      </c>
      <c r="R42" s="38"/>
      <c r="S42" s="38"/>
      <c r="T42" s="38"/>
      <c r="U42" s="38"/>
      <c r="V42" s="38"/>
    </row>
    <row r="43">
      <c r="A43" s="55" t="s">
        <v>213</v>
      </c>
      <c r="B43" s="130"/>
      <c r="C43" s="120"/>
      <c r="D43" s="38"/>
      <c r="E43" s="38"/>
      <c r="F43" s="38"/>
      <c r="G43" s="38"/>
      <c r="H43" s="55" t="s">
        <v>213</v>
      </c>
      <c r="I43" s="130"/>
      <c r="J43" s="120"/>
      <c r="K43" s="38"/>
      <c r="L43" s="38"/>
      <c r="M43" s="38"/>
      <c r="N43" s="38"/>
      <c r="O43" s="55" t="s">
        <v>213</v>
      </c>
      <c r="P43" s="38"/>
      <c r="Q43" s="118">
        <v>1.3</v>
      </c>
      <c r="R43" s="38"/>
      <c r="S43" s="38"/>
      <c r="T43" s="38"/>
      <c r="U43" s="38"/>
      <c r="V43" s="38"/>
    </row>
    <row r="44">
      <c r="A44" s="55" t="s">
        <v>214</v>
      </c>
      <c r="B44" s="38"/>
      <c r="C44" s="38"/>
      <c r="D44" s="38"/>
      <c r="E44" s="38"/>
      <c r="F44" s="38"/>
      <c r="G44" s="38"/>
      <c r="H44" s="55" t="s">
        <v>214</v>
      </c>
      <c r="I44" s="38"/>
      <c r="J44" s="38"/>
      <c r="K44" s="38"/>
      <c r="L44" s="38"/>
      <c r="M44" s="38"/>
      <c r="N44" s="38"/>
      <c r="O44" s="55" t="s">
        <v>214</v>
      </c>
      <c r="P44" s="38"/>
      <c r="Q44" s="118">
        <v>1.2</v>
      </c>
      <c r="R44" s="38"/>
      <c r="S44" s="38"/>
      <c r="T44" s="38"/>
      <c r="U44" s="38"/>
      <c r="V44" s="38"/>
    </row>
    <row r="45">
      <c r="A45" s="55" t="s">
        <v>215</v>
      </c>
      <c r="B45" s="38"/>
      <c r="C45" s="38"/>
      <c r="D45" s="38"/>
      <c r="E45" s="38"/>
      <c r="F45" s="38"/>
      <c r="G45" s="38"/>
      <c r="H45" s="55" t="s">
        <v>215</v>
      </c>
      <c r="I45" s="38"/>
      <c r="J45" s="38"/>
      <c r="K45" s="38"/>
      <c r="L45" s="38"/>
      <c r="M45" s="38"/>
      <c r="N45" s="38"/>
      <c r="O45" s="55" t="s">
        <v>215</v>
      </c>
      <c r="P45" s="38"/>
      <c r="Q45" s="118">
        <v>1.33</v>
      </c>
      <c r="R45" s="38"/>
      <c r="S45" s="38"/>
      <c r="T45" s="38"/>
      <c r="U45" s="38"/>
      <c r="V45" s="38"/>
    </row>
    <row r="46">
      <c r="A46" s="55" t="s">
        <v>216</v>
      </c>
      <c r="B46" s="38"/>
      <c r="C46" s="38"/>
      <c r="D46" s="38"/>
      <c r="E46" s="38"/>
      <c r="F46" s="38"/>
      <c r="G46" s="38"/>
      <c r="H46" s="55" t="s">
        <v>216</v>
      </c>
      <c r="I46" s="38"/>
      <c r="J46" s="38"/>
      <c r="K46" s="38"/>
      <c r="L46" s="38"/>
      <c r="M46" s="38"/>
      <c r="N46" s="38"/>
      <c r="O46" s="55" t="s">
        <v>216</v>
      </c>
      <c r="P46" s="38"/>
      <c r="Q46" s="118"/>
      <c r="R46" s="38"/>
      <c r="S46" s="38"/>
      <c r="T46" s="38"/>
      <c r="U46" s="38"/>
      <c r="V46" s="38"/>
    </row>
    <row r="47">
      <c r="A47" s="55" t="s">
        <v>217</v>
      </c>
      <c r="B47" s="38"/>
      <c r="C47" s="38"/>
      <c r="D47" s="38"/>
      <c r="E47" s="38"/>
      <c r="F47" s="38"/>
      <c r="G47" s="38"/>
      <c r="H47" s="55" t="s">
        <v>217</v>
      </c>
      <c r="I47" s="38"/>
      <c r="J47" s="38"/>
      <c r="K47" s="38"/>
      <c r="L47" s="38"/>
      <c r="M47" s="38"/>
      <c r="N47" s="38"/>
      <c r="O47" s="55" t="s">
        <v>217</v>
      </c>
      <c r="P47" s="38"/>
      <c r="Q47" s="118"/>
      <c r="R47" s="38"/>
      <c r="S47" s="38"/>
      <c r="T47" s="38"/>
      <c r="U47" s="38"/>
      <c r="V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</row>
    <row r="51">
      <c r="A51" s="114" t="s">
        <v>200</v>
      </c>
      <c r="G51" s="38"/>
      <c r="H51" s="114" t="s">
        <v>200</v>
      </c>
      <c r="N51" s="38"/>
      <c r="O51" s="114" t="s">
        <v>200</v>
      </c>
      <c r="U51" s="38"/>
      <c r="V51" s="38"/>
    </row>
    <row r="52">
      <c r="A52" s="115" t="s">
        <v>32</v>
      </c>
      <c r="B52" s="114" t="s">
        <v>201</v>
      </c>
      <c r="C52" s="114" t="s">
        <v>202</v>
      </c>
      <c r="D52" s="114" t="s">
        <v>203</v>
      </c>
      <c r="E52" s="114" t="s">
        <v>204</v>
      </c>
      <c r="F52" s="114" t="s">
        <v>221</v>
      </c>
      <c r="G52" s="38"/>
      <c r="H52" s="115" t="s">
        <v>40</v>
      </c>
      <c r="I52" s="114" t="s">
        <v>201</v>
      </c>
      <c r="J52" s="114" t="s">
        <v>202</v>
      </c>
      <c r="K52" s="114" t="s">
        <v>203</v>
      </c>
      <c r="L52" s="114" t="s">
        <v>204</v>
      </c>
      <c r="M52" s="114" t="s">
        <v>221</v>
      </c>
      <c r="N52" s="38"/>
      <c r="O52" s="115" t="s">
        <v>73</v>
      </c>
      <c r="P52" s="114" t="s">
        <v>201</v>
      </c>
      <c r="Q52" s="114" t="s">
        <v>202</v>
      </c>
      <c r="R52" s="114" t="s">
        <v>203</v>
      </c>
      <c r="S52" s="114" t="s">
        <v>204</v>
      </c>
      <c r="T52" s="114" t="s">
        <v>221</v>
      </c>
      <c r="U52" s="38"/>
      <c r="V52" s="38"/>
    </row>
    <row r="53">
      <c r="A53" s="55" t="s">
        <v>206</v>
      </c>
      <c r="B53" s="116">
        <v>1.0</v>
      </c>
      <c r="C53" s="117">
        <v>1.21</v>
      </c>
      <c r="D53" s="131">
        <v>0.98</v>
      </c>
      <c r="E53" s="38"/>
      <c r="F53" s="38"/>
      <c r="G53" s="38"/>
      <c r="H53" s="55" t="s">
        <v>206</v>
      </c>
      <c r="I53" s="123">
        <v>3.0</v>
      </c>
      <c r="J53" s="120"/>
      <c r="K53" s="38"/>
      <c r="L53" s="38"/>
      <c r="M53" s="38"/>
      <c r="N53" s="38"/>
      <c r="O53" s="55" t="s">
        <v>206</v>
      </c>
      <c r="P53" s="55"/>
      <c r="Q53" s="116" t="s">
        <v>228</v>
      </c>
      <c r="R53" s="132"/>
      <c r="S53" s="38"/>
      <c r="T53" s="38"/>
      <c r="U53" s="38"/>
      <c r="V53" s="38"/>
    </row>
    <row r="54">
      <c r="A54" s="55" t="s">
        <v>207</v>
      </c>
      <c r="B54" s="116">
        <v>1.0</v>
      </c>
      <c r="C54" s="117">
        <v>0.84</v>
      </c>
      <c r="D54" s="131">
        <v>0.72</v>
      </c>
      <c r="E54" s="38"/>
      <c r="F54" s="38"/>
      <c r="G54" s="38"/>
      <c r="H54" s="55" t="s">
        <v>207</v>
      </c>
      <c r="I54" s="116">
        <v>3.0</v>
      </c>
      <c r="J54" s="120"/>
      <c r="K54" s="38"/>
      <c r="L54" s="38"/>
      <c r="M54" s="38"/>
      <c r="N54" s="38"/>
      <c r="O54" s="55" t="s">
        <v>207</v>
      </c>
      <c r="P54" s="55"/>
      <c r="Q54" s="116" t="s">
        <v>229</v>
      </c>
      <c r="R54" s="132"/>
      <c r="S54" s="38"/>
      <c r="T54" s="38"/>
      <c r="U54" s="38"/>
      <c r="V54" s="38"/>
    </row>
    <row r="55">
      <c r="A55" s="55" t="s">
        <v>208</v>
      </c>
      <c r="B55" s="116">
        <v>2.0</v>
      </c>
      <c r="C55" s="117">
        <v>0.69</v>
      </c>
      <c r="D55" s="131">
        <v>0.7</v>
      </c>
      <c r="E55" s="38"/>
      <c r="F55" s="38"/>
      <c r="G55" s="38"/>
      <c r="H55" s="55" t="s">
        <v>208</v>
      </c>
      <c r="I55" s="55"/>
      <c r="J55" s="120"/>
      <c r="K55" s="38"/>
      <c r="L55" s="38"/>
      <c r="M55" s="38"/>
      <c r="N55" s="38"/>
      <c r="O55" s="55" t="s">
        <v>208</v>
      </c>
      <c r="P55" s="55"/>
      <c r="Q55" s="116" t="s">
        <v>230</v>
      </c>
      <c r="R55" s="132"/>
      <c r="S55" s="38"/>
      <c r="T55" s="38"/>
      <c r="U55" s="38"/>
      <c r="V55" s="38"/>
    </row>
    <row r="56">
      <c r="A56" s="55" t="s">
        <v>209</v>
      </c>
      <c r="B56" s="116">
        <v>1.0</v>
      </c>
      <c r="C56" s="117">
        <v>0.7</v>
      </c>
      <c r="D56" s="131">
        <v>0.65</v>
      </c>
      <c r="E56" s="38"/>
      <c r="F56" s="38"/>
      <c r="G56" s="38"/>
      <c r="H56" s="55" t="s">
        <v>209</v>
      </c>
      <c r="I56" s="55"/>
      <c r="J56" s="120"/>
      <c r="K56" s="38"/>
      <c r="L56" s="38"/>
      <c r="M56" s="38"/>
      <c r="N56" s="38"/>
      <c r="O56" s="55" t="s">
        <v>209</v>
      </c>
      <c r="P56" s="55"/>
      <c r="Q56" s="116" t="s">
        <v>231</v>
      </c>
      <c r="R56" s="132"/>
      <c r="S56" s="38"/>
      <c r="T56" s="38"/>
      <c r="U56" s="38"/>
      <c r="V56" s="38"/>
    </row>
    <row r="57">
      <c r="A57" s="55" t="s">
        <v>210</v>
      </c>
      <c r="B57" s="116">
        <v>2.0</v>
      </c>
      <c r="C57" s="117">
        <v>0.82</v>
      </c>
      <c r="D57" s="131">
        <v>0.9</v>
      </c>
      <c r="E57" s="38"/>
      <c r="F57" s="38"/>
      <c r="G57" s="38"/>
      <c r="H57" s="55" t="s">
        <v>210</v>
      </c>
      <c r="I57" s="55"/>
      <c r="J57" s="120"/>
      <c r="K57" s="38"/>
      <c r="L57" s="38"/>
      <c r="M57" s="38"/>
      <c r="N57" s="38"/>
      <c r="O57" s="55" t="s">
        <v>210</v>
      </c>
      <c r="P57" s="55"/>
      <c r="Q57" s="118">
        <v>1.02</v>
      </c>
      <c r="R57" s="132"/>
      <c r="S57" s="38"/>
      <c r="T57" s="38"/>
      <c r="U57" s="38"/>
      <c r="V57" s="38"/>
    </row>
    <row r="58">
      <c r="A58" s="55" t="s">
        <v>211</v>
      </c>
      <c r="B58" s="55"/>
      <c r="C58" s="50"/>
      <c r="D58" s="38"/>
      <c r="E58" s="38"/>
      <c r="F58" s="38"/>
      <c r="G58" s="38"/>
      <c r="H58" s="55" t="s">
        <v>211</v>
      </c>
      <c r="I58" s="55"/>
      <c r="J58" s="120"/>
      <c r="K58" s="38"/>
      <c r="L58" s="38"/>
      <c r="M58" s="38"/>
      <c r="N58" s="38"/>
      <c r="O58" s="55" t="s">
        <v>211</v>
      </c>
      <c r="P58" s="55"/>
      <c r="Q58" s="118">
        <v>1.0</v>
      </c>
      <c r="R58" s="132"/>
      <c r="S58" s="38"/>
      <c r="T58" s="38"/>
      <c r="U58" s="38"/>
      <c r="V58" s="38"/>
    </row>
    <row r="59">
      <c r="A59" s="55" t="s">
        <v>212</v>
      </c>
      <c r="B59" s="55"/>
      <c r="C59" s="50"/>
      <c r="D59" s="38"/>
      <c r="E59" s="38"/>
      <c r="F59" s="38"/>
      <c r="G59" s="38"/>
      <c r="H59" s="55" t="s">
        <v>212</v>
      </c>
      <c r="I59" s="133"/>
      <c r="J59" s="120"/>
      <c r="K59" s="38"/>
      <c r="L59" s="38"/>
      <c r="M59" s="38"/>
      <c r="N59" s="38"/>
      <c r="O59" s="55" t="s">
        <v>212</v>
      </c>
      <c r="P59" s="55"/>
      <c r="Q59" s="118">
        <v>1.0</v>
      </c>
      <c r="R59" s="132"/>
      <c r="S59" s="38"/>
      <c r="T59" s="38"/>
      <c r="U59" s="38"/>
      <c r="V59" s="38"/>
    </row>
    <row r="60">
      <c r="A60" s="55" t="s">
        <v>213</v>
      </c>
      <c r="B60" s="38"/>
      <c r="C60" s="38"/>
      <c r="D60" s="38"/>
      <c r="E60" s="38"/>
      <c r="F60" s="38"/>
      <c r="G60" s="38"/>
      <c r="H60" s="55" t="s">
        <v>213</v>
      </c>
      <c r="I60" s="38"/>
      <c r="J60" s="38"/>
      <c r="K60" s="38"/>
      <c r="L60" s="38"/>
      <c r="M60" s="38"/>
      <c r="N60" s="38"/>
      <c r="O60" s="55" t="s">
        <v>213</v>
      </c>
      <c r="P60" s="116">
        <v>1.0</v>
      </c>
      <c r="Q60" s="131">
        <v>0.96</v>
      </c>
      <c r="R60" s="38"/>
      <c r="S60" s="38"/>
      <c r="T60" s="38"/>
      <c r="U60" s="38"/>
      <c r="V60" s="38"/>
    </row>
    <row r="61">
      <c r="A61" s="55" t="s">
        <v>214</v>
      </c>
      <c r="B61" s="38"/>
      <c r="C61" s="38"/>
      <c r="D61" s="38"/>
      <c r="E61" s="38"/>
      <c r="F61" s="38"/>
      <c r="G61" s="38"/>
      <c r="H61" s="55" t="s">
        <v>214</v>
      </c>
      <c r="I61" s="38"/>
      <c r="J61" s="38"/>
      <c r="K61" s="38"/>
      <c r="L61" s="38"/>
      <c r="M61" s="38"/>
      <c r="N61" s="38"/>
      <c r="O61" s="55" t="s">
        <v>214</v>
      </c>
      <c r="P61" s="55"/>
      <c r="Q61" s="131">
        <v>1.01</v>
      </c>
      <c r="R61" s="38"/>
      <c r="S61" s="38"/>
      <c r="T61" s="38"/>
      <c r="U61" s="38"/>
      <c r="V61" s="38"/>
    </row>
    <row r="62">
      <c r="A62" s="55" t="s">
        <v>215</v>
      </c>
      <c r="B62" s="38"/>
      <c r="C62" s="38"/>
      <c r="D62" s="38"/>
      <c r="E62" s="38"/>
      <c r="F62" s="38"/>
      <c r="G62" s="38"/>
      <c r="H62" s="55" t="s">
        <v>215</v>
      </c>
      <c r="I62" s="38"/>
      <c r="J62" s="38"/>
      <c r="K62" s="38"/>
      <c r="L62" s="38"/>
      <c r="M62" s="38"/>
      <c r="N62" s="38"/>
      <c r="O62" s="55" t="s">
        <v>215</v>
      </c>
      <c r="P62" s="55"/>
      <c r="Q62" s="131">
        <v>1.15</v>
      </c>
      <c r="R62" s="38"/>
      <c r="S62" s="38"/>
      <c r="T62" s="38"/>
      <c r="U62" s="38"/>
      <c r="V62" s="38"/>
    </row>
    <row r="63">
      <c r="A63" s="55" t="s">
        <v>216</v>
      </c>
      <c r="B63" s="38"/>
      <c r="C63" s="38"/>
      <c r="D63" s="38"/>
      <c r="E63" s="38"/>
      <c r="F63" s="38"/>
      <c r="G63" s="38"/>
      <c r="H63" s="55" t="s">
        <v>216</v>
      </c>
      <c r="I63" s="38"/>
      <c r="J63" s="38"/>
      <c r="K63" s="38"/>
      <c r="L63" s="38"/>
      <c r="M63" s="38"/>
      <c r="N63" s="38"/>
      <c r="O63" s="55" t="s">
        <v>216</v>
      </c>
      <c r="P63" s="55"/>
      <c r="Q63" s="131">
        <v>0.89</v>
      </c>
      <c r="R63" s="38"/>
      <c r="S63" s="38"/>
      <c r="T63" s="38"/>
      <c r="U63" s="38"/>
      <c r="V63" s="38"/>
    </row>
    <row r="64">
      <c r="A64" s="55" t="s">
        <v>217</v>
      </c>
      <c r="B64" s="38"/>
      <c r="C64" s="38"/>
      <c r="D64" s="38"/>
      <c r="E64" s="38"/>
      <c r="F64" s="38"/>
      <c r="G64" s="38"/>
      <c r="H64" s="55" t="s">
        <v>217</v>
      </c>
      <c r="I64" s="38"/>
      <c r="J64" s="38"/>
      <c r="K64" s="38"/>
      <c r="L64" s="38"/>
      <c r="M64" s="38"/>
      <c r="N64" s="38"/>
      <c r="O64" s="55" t="s">
        <v>217</v>
      </c>
      <c r="P64" s="55"/>
      <c r="Q64" s="74" t="s">
        <v>231</v>
      </c>
      <c r="R64" s="38"/>
      <c r="S64" s="38"/>
      <c r="T64" s="38"/>
      <c r="U64" s="38"/>
      <c r="V64" s="38"/>
    </row>
    <row r="65">
      <c r="A65" s="38"/>
      <c r="B65" s="38"/>
      <c r="C65" s="50">
        <f t="shared" ref="C65:D65" si="4">average(C53:C64)</f>
        <v>0.852</v>
      </c>
      <c r="D65" s="50">
        <f t="shared" si="4"/>
        <v>0.79</v>
      </c>
      <c r="E65" s="38"/>
      <c r="F65" s="38"/>
      <c r="G65" s="38"/>
      <c r="H65" s="38"/>
      <c r="I65" s="38"/>
      <c r="J65" s="120" t="str">
        <f>average(J53:J64)</f>
        <v>#DIV/0!</v>
      </c>
      <c r="K65" s="38"/>
      <c r="L65" s="38"/>
      <c r="M65" s="38"/>
      <c r="N65" s="38"/>
      <c r="O65" s="38"/>
      <c r="P65" s="38"/>
      <c r="Q65" s="120">
        <f>average(Q53:Q64)</f>
        <v>1.004285714</v>
      </c>
      <c r="R65" s="38"/>
      <c r="S65" s="38"/>
      <c r="T65" s="38"/>
      <c r="U65" s="38"/>
      <c r="V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</row>
    <row r="67">
      <c r="A67" s="114" t="s">
        <v>200</v>
      </c>
      <c r="G67" s="38"/>
      <c r="H67" s="114" t="s">
        <v>200</v>
      </c>
      <c r="N67" s="38"/>
      <c r="O67" s="114" t="s">
        <v>200</v>
      </c>
      <c r="U67" s="38"/>
      <c r="V67" s="38"/>
    </row>
    <row r="68">
      <c r="A68" s="115" t="s">
        <v>35</v>
      </c>
      <c r="B68" s="114" t="s">
        <v>201</v>
      </c>
      <c r="C68" s="114" t="s">
        <v>202</v>
      </c>
      <c r="D68" s="114" t="s">
        <v>203</v>
      </c>
      <c r="E68" s="114" t="s">
        <v>204</v>
      </c>
      <c r="F68" s="114" t="s">
        <v>221</v>
      </c>
      <c r="G68" s="38"/>
      <c r="H68" s="115" t="s">
        <v>37</v>
      </c>
      <c r="I68" s="114" t="s">
        <v>201</v>
      </c>
      <c r="J68" s="114" t="s">
        <v>202</v>
      </c>
      <c r="K68" s="114" t="s">
        <v>203</v>
      </c>
      <c r="L68" s="114" t="s">
        <v>204</v>
      </c>
      <c r="M68" s="114" t="s">
        <v>221</v>
      </c>
      <c r="N68" s="38"/>
      <c r="O68" s="115" t="s">
        <v>38</v>
      </c>
      <c r="P68" s="114" t="s">
        <v>201</v>
      </c>
      <c r="Q68" s="114" t="s">
        <v>202</v>
      </c>
      <c r="R68" s="114" t="s">
        <v>203</v>
      </c>
      <c r="S68" s="114" t="s">
        <v>204</v>
      </c>
      <c r="T68" s="114" t="s">
        <v>221</v>
      </c>
      <c r="U68" s="38"/>
      <c r="V68" s="38"/>
    </row>
    <row r="69">
      <c r="A69" s="55" t="s">
        <v>206</v>
      </c>
      <c r="B69" s="116">
        <v>1.0</v>
      </c>
      <c r="C69" s="118">
        <v>1.7396</v>
      </c>
      <c r="D69" s="116" t="s">
        <v>232</v>
      </c>
      <c r="E69" s="116" t="s">
        <v>233</v>
      </c>
      <c r="F69" s="116" t="s">
        <v>234</v>
      </c>
      <c r="G69" s="38"/>
      <c r="H69" s="55" t="s">
        <v>206</v>
      </c>
      <c r="I69" s="116">
        <v>2.0</v>
      </c>
      <c r="J69" s="118">
        <v>0.8168</v>
      </c>
      <c r="K69" s="116" t="s">
        <v>234</v>
      </c>
      <c r="L69" s="116" t="s">
        <v>232</v>
      </c>
      <c r="M69" s="38"/>
      <c r="N69" s="38"/>
      <c r="O69" s="55" t="s">
        <v>206</v>
      </c>
      <c r="P69" s="116">
        <v>1.0</v>
      </c>
      <c r="Q69" s="118">
        <v>0.8236</v>
      </c>
      <c r="R69" s="116" t="s">
        <v>232</v>
      </c>
      <c r="S69" s="116" t="s">
        <v>233</v>
      </c>
      <c r="T69" s="38"/>
      <c r="U69" s="38"/>
      <c r="V69" s="38"/>
    </row>
    <row r="70">
      <c r="A70" s="55" t="s">
        <v>207</v>
      </c>
      <c r="B70" s="116">
        <v>2.0</v>
      </c>
      <c r="C70" s="134">
        <v>2.0125</v>
      </c>
      <c r="D70" s="116" t="s">
        <v>233</v>
      </c>
      <c r="E70" s="116" t="s">
        <v>232</v>
      </c>
      <c r="F70" s="116" t="s">
        <v>234</v>
      </c>
      <c r="G70" s="38"/>
      <c r="H70" s="55" t="s">
        <v>207</v>
      </c>
      <c r="I70" s="116">
        <v>2.0</v>
      </c>
      <c r="J70" s="134">
        <v>0.7299</v>
      </c>
      <c r="K70" s="116" t="s">
        <v>234</v>
      </c>
      <c r="L70" s="116" t="s">
        <v>232</v>
      </c>
      <c r="M70" s="38"/>
      <c r="N70" s="38"/>
      <c r="O70" s="55" t="s">
        <v>207</v>
      </c>
      <c r="P70" s="116">
        <v>1.0</v>
      </c>
      <c r="Q70" s="134">
        <v>1.0927</v>
      </c>
      <c r="R70" s="116" t="s">
        <v>232</v>
      </c>
      <c r="S70" s="116" t="s">
        <v>233</v>
      </c>
      <c r="T70" s="38"/>
      <c r="U70" s="38"/>
      <c r="V70" s="38"/>
    </row>
    <row r="71">
      <c r="A71" s="55" t="s">
        <v>208</v>
      </c>
      <c r="B71" s="116">
        <v>1.0</v>
      </c>
      <c r="C71" s="134">
        <v>1.64</v>
      </c>
      <c r="D71" s="116" t="s">
        <v>232</v>
      </c>
      <c r="E71" s="116" t="s">
        <v>234</v>
      </c>
      <c r="F71" s="116" t="s">
        <v>233</v>
      </c>
      <c r="G71" s="38"/>
      <c r="H71" s="55" t="s">
        <v>208</v>
      </c>
      <c r="I71" s="116">
        <v>2.0</v>
      </c>
      <c r="J71" s="134">
        <v>0.8382</v>
      </c>
      <c r="K71" s="116" t="s">
        <v>234</v>
      </c>
      <c r="L71" s="116" t="s">
        <v>232</v>
      </c>
      <c r="M71" s="38"/>
      <c r="N71" s="38"/>
      <c r="O71" s="55" t="s">
        <v>208</v>
      </c>
      <c r="P71" s="116">
        <v>1.0</v>
      </c>
      <c r="Q71" s="134">
        <v>0.8891</v>
      </c>
      <c r="R71" s="116" t="s">
        <v>232</v>
      </c>
      <c r="S71" s="116" t="s">
        <v>233</v>
      </c>
      <c r="T71" s="38"/>
      <c r="U71" s="38"/>
      <c r="V71" s="38"/>
    </row>
    <row r="72">
      <c r="A72" s="55" t="s">
        <v>209</v>
      </c>
      <c r="B72" s="116">
        <v>2.0</v>
      </c>
      <c r="C72" s="134">
        <v>1.5243</v>
      </c>
      <c r="D72" s="116" t="s">
        <v>233</v>
      </c>
      <c r="E72" s="116" t="s">
        <v>232</v>
      </c>
      <c r="F72" s="116" t="s">
        <v>234</v>
      </c>
      <c r="G72" s="38"/>
      <c r="H72" s="55" t="s">
        <v>209</v>
      </c>
      <c r="I72" s="116">
        <v>2.0</v>
      </c>
      <c r="J72" s="134">
        <v>0.8013</v>
      </c>
      <c r="K72" s="116" t="s">
        <v>234</v>
      </c>
      <c r="L72" s="116" t="s">
        <v>232</v>
      </c>
      <c r="M72" s="38"/>
      <c r="N72" s="38"/>
      <c r="O72" s="55" t="s">
        <v>209</v>
      </c>
      <c r="P72" s="116">
        <v>1.0</v>
      </c>
      <c r="Q72" s="134">
        <v>1.0382</v>
      </c>
      <c r="R72" s="116" t="s">
        <v>232</v>
      </c>
      <c r="S72" s="116" t="s">
        <v>233</v>
      </c>
      <c r="T72" s="38"/>
      <c r="U72" s="38"/>
      <c r="V72" s="38"/>
    </row>
    <row r="73">
      <c r="A73" s="55" t="s">
        <v>210</v>
      </c>
      <c r="B73" s="116">
        <v>1.0</v>
      </c>
      <c r="C73" s="134">
        <v>1.4074</v>
      </c>
      <c r="D73" s="116" t="s">
        <v>232</v>
      </c>
      <c r="E73" s="116" t="s">
        <v>234</v>
      </c>
      <c r="F73" s="116" t="s">
        <v>233</v>
      </c>
      <c r="G73" s="38"/>
      <c r="H73" s="55" t="s">
        <v>210</v>
      </c>
      <c r="I73" s="116">
        <v>2.0</v>
      </c>
      <c r="J73" s="134">
        <v>0.666</v>
      </c>
      <c r="K73" s="116" t="s">
        <v>234</v>
      </c>
      <c r="L73" s="116" t="s">
        <v>232</v>
      </c>
      <c r="M73" s="38"/>
      <c r="N73" s="38"/>
      <c r="O73" s="55" t="s">
        <v>210</v>
      </c>
      <c r="P73" s="116">
        <v>1.0</v>
      </c>
      <c r="Q73" s="134">
        <v>0.9436</v>
      </c>
      <c r="R73" s="116" t="s">
        <v>232</v>
      </c>
      <c r="S73" s="116" t="s">
        <v>233</v>
      </c>
      <c r="T73" s="38"/>
      <c r="U73" s="38"/>
      <c r="V73" s="38"/>
    </row>
    <row r="74">
      <c r="A74" s="55" t="s">
        <v>211</v>
      </c>
      <c r="B74" s="116">
        <v>2.0</v>
      </c>
      <c r="C74" s="134">
        <v>1.3461</v>
      </c>
      <c r="D74" s="116" t="s">
        <v>234</v>
      </c>
      <c r="E74" s="116" t="s">
        <v>232</v>
      </c>
      <c r="F74" s="116" t="s">
        <v>233</v>
      </c>
      <c r="G74" s="38"/>
      <c r="H74" s="55" t="s">
        <v>211</v>
      </c>
      <c r="I74" s="116">
        <v>2.0</v>
      </c>
      <c r="J74" s="134">
        <v>0.9692</v>
      </c>
      <c r="K74" s="116" t="s">
        <v>234</v>
      </c>
      <c r="L74" s="116" t="s">
        <v>232</v>
      </c>
      <c r="M74" s="38"/>
      <c r="N74" s="38"/>
      <c r="O74" s="55" t="s">
        <v>211</v>
      </c>
      <c r="P74" s="116">
        <v>1.0</v>
      </c>
      <c r="Q74" s="134">
        <v>1.9327</v>
      </c>
      <c r="R74" s="116" t="s">
        <v>232</v>
      </c>
      <c r="S74" s="116" t="s">
        <v>233</v>
      </c>
      <c r="T74" s="116" t="s">
        <v>234</v>
      </c>
      <c r="U74" s="38"/>
      <c r="V74" s="38"/>
    </row>
    <row r="75">
      <c r="A75" s="55" t="s">
        <v>212</v>
      </c>
      <c r="B75" s="116">
        <v>2.0</v>
      </c>
      <c r="C75" s="134">
        <v>1.6343</v>
      </c>
      <c r="D75" s="116" t="s">
        <v>234</v>
      </c>
      <c r="E75" s="116" t="s">
        <v>232</v>
      </c>
      <c r="F75" s="116" t="s">
        <v>233</v>
      </c>
      <c r="G75" s="38"/>
      <c r="H75" s="55" t="s">
        <v>212</v>
      </c>
      <c r="I75" s="116">
        <v>1.0</v>
      </c>
      <c r="J75" s="134">
        <v>1.1427</v>
      </c>
      <c r="K75" s="116" t="s">
        <v>232</v>
      </c>
      <c r="L75" s="116" t="s">
        <v>234</v>
      </c>
      <c r="M75" s="38"/>
      <c r="N75" s="38"/>
      <c r="O75" s="55" t="s">
        <v>212</v>
      </c>
      <c r="P75" s="116">
        <v>1.0</v>
      </c>
      <c r="Q75" s="134">
        <v>1.1786</v>
      </c>
      <c r="R75" s="116" t="s">
        <v>232</v>
      </c>
      <c r="S75" s="116" t="s">
        <v>233</v>
      </c>
      <c r="T75" s="116" t="s">
        <v>234</v>
      </c>
      <c r="U75" s="38"/>
      <c r="V75" s="38"/>
    </row>
    <row r="76">
      <c r="A76" s="55" t="s">
        <v>213</v>
      </c>
      <c r="B76" s="116">
        <v>2.0</v>
      </c>
      <c r="C76" s="118">
        <v>1.7684</v>
      </c>
      <c r="D76" s="116" t="s">
        <v>234</v>
      </c>
      <c r="E76" s="116" t="s">
        <v>232</v>
      </c>
      <c r="F76" s="116" t="s">
        <v>233</v>
      </c>
      <c r="G76" s="38"/>
      <c r="H76" s="55" t="s">
        <v>213</v>
      </c>
      <c r="I76" s="116">
        <v>1.0</v>
      </c>
      <c r="J76" s="118">
        <v>0.8871</v>
      </c>
      <c r="K76" s="116" t="s">
        <v>232</v>
      </c>
      <c r="L76" s="116" t="s">
        <v>234</v>
      </c>
      <c r="M76" s="38"/>
      <c r="N76" s="38"/>
      <c r="O76" s="55" t="s">
        <v>213</v>
      </c>
      <c r="P76" s="116">
        <v>1.0</v>
      </c>
      <c r="Q76" s="118">
        <v>1.3459</v>
      </c>
      <c r="R76" s="116" t="s">
        <v>232</v>
      </c>
      <c r="S76" s="116" t="s">
        <v>233</v>
      </c>
      <c r="T76" s="116" t="s">
        <v>234</v>
      </c>
      <c r="U76" s="38"/>
      <c r="V76" s="38"/>
    </row>
    <row r="77">
      <c r="A77" s="55" t="s">
        <v>214</v>
      </c>
      <c r="B77" s="38"/>
      <c r="C77" s="38"/>
      <c r="D77" s="38"/>
      <c r="E77" s="38"/>
      <c r="F77" s="38"/>
      <c r="G77" s="38"/>
      <c r="H77" s="55" t="s">
        <v>214</v>
      </c>
      <c r="I77" s="116">
        <v>1.0</v>
      </c>
      <c r="J77" s="118">
        <v>0.9042</v>
      </c>
      <c r="K77" s="116" t="s">
        <v>232</v>
      </c>
      <c r="L77" s="116" t="s">
        <v>234</v>
      </c>
      <c r="M77" s="38"/>
      <c r="N77" s="38"/>
      <c r="O77" s="55" t="s">
        <v>214</v>
      </c>
      <c r="P77" s="116">
        <v>1.0</v>
      </c>
      <c r="Q77" s="118">
        <v>2.9171</v>
      </c>
      <c r="R77" s="116" t="s">
        <v>232</v>
      </c>
      <c r="S77" s="116" t="s">
        <v>233</v>
      </c>
      <c r="T77" s="116" t="s">
        <v>234</v>
      </c>
      <c r="U77" s="38"/>
      <c r="V77" s="38"/>
    </row>
    <row r="78">
      <c r="A78" s="55" t="s">
        <v>215</v>
      </c>
      <c r="B78" s="38"/>
      <c r="C78" s="38"/>
      <c r="D78" s="38"/>
      <c r="E78" s="38"/>
      <c r="F78" s="38"/>
      <c r="G78" s="38"/>
      <c r="H78" s="55" t="s">
        <v>215</v>
      </c>
      <c r="I78" s="38"/>
      <c r="J78" s="38"/>
      <c r="K78" s="38"/>
      <c r="L78" s="38"/>
      <c r="M78" s="38"/>
      <c r="N78" s="38"/>
      <c r="O78" s="55" t="s">
        <v>215</v>
      </c>
      <c r="P78" s="38"/>
      <c r="Q78" s="38"/>
      <c r="R78" s="38"/>
      <c r="S78" s="38"/>
      <c r="T78" s="38"/>
      <c r="U78" s="38"/>
      <c r="V78" s="38"/>
    </row>
    <row r="79">
      <c r="A79" s="55" t="s">
        <v>216</v>
      </c>
      <c r="B79" s="38"/>
      <c r="C79" s="38"/>
      <c r="D79" s="38"/>
      <c r="E79" s="38"/>
      <c r="F79" s="38"/>
      <c r="G79" s="38"/>
      <c r="H79" s="55" t="s">
        <v>216</v>
      </c>
      <c r="I79" s="38"/>
      <c r="J79" s="38"/>
      <c r="K79" s="38"/>
      <c r="L79" s="38"/>
      <c r="M79" s="38"/>
      <c r="N79" s="38"/>
      <c r="O79" s="55" t="s">
        <v>216</v>
      </c>
      <c r="P79" s="38"/>
      <c r="Q79" s="38"/>
      <c r="R79" s="38"/>
      <c r="S79" s="38"/>
      <c r="T79" s="38"/>
      <c r="U79" s="38"/>
      <c r="V79" s="38"/>
    </row>
    <row r="80">
      <c r="A80" s="55" t="s">
        <v>217</v>
      </c>
      <c r="B80" s="38"/>
      <c r="C80" s="38"/>
      <c r="D80" s="38"/>
      <c r="E80" s="38"/>
      <c r="F80" s="38"/>
      <c r="G80" s="38"/>
      <c r="H80" s="55" t="s">
        <v>217</v>
      </c>
      <c r="I80" s="38"/>
      <c r="J80" s="38"/>
      <c r="K80" s="38"/>
      <c r="L80" s="38"/>
      <c r="M80" s="38"/>
      <c r="N80" s="38"/>
      <c r="O80" s="55" t="s">
        <v>217</v>
      </c>
      <c r="P80" s="38"/>
      <c r="Q80" s="38"/>
      <c r="R80" s="38"/>
      <c r="S80" s="38"/>
      <c r="T80" s="38"/>
      <c r="U80" s="38"/>
      <c r="V80" s="38"/>
    </row>
    <row r="81">
      <c r="A81" s="38"/>
      <c r="B81" s="38"/>
      <c r="C81" s="120">
        <f t="shared" ref="C81:E81" si="5">average(C69:C80)</f>
        <v>1.634075</v>
      </c>
      <c r="D81" s="120" t="str">
        <f t="shared" si="5"/>
        <v>#DIV/0!</v>
      </c>
      <c r="E81" s="120" t="str">
        <f t="shared" si="5"/>
        <v>#DIV/0!</v>
      </c>
      <c r="F81" s="38"/>
      <c r="G81" s="38"/>
      <c r="H81" s="38"/>
      <c r="I81" s="38"/>
      <c r="J81" s="120">
        <f t="shared" ref="J81:K81" si="6">average(J69:J80)</f>
        <v>0.8617111111</v>
      </c>
      <c r="K81" s="120" t="str">
        <f t="shared" si="6"/>
        <v>#DIV/0!</v>
      </c>
      <c r="L81" s="38"/>
      <c r="M81" s="38"/>
      <c r="N81" s="38"/>
      <c r="O81" s="38"/>
      <c r="P81" s="38"/>
      <c r="Q81" s="120">
        <f t="shared" ref="Q81:S81" si="7">average(Q69:Q80)</f>
        <v>1.351277778</v>
      </c>
      <c r="R81" s="50" t="str">
        <f t="shared" si="7"/>
        <v>#DIV/0!</v>
      </c>
      <c r="S81" s="50" t="str">
        <f t="shared" si="7"/>
        <v>#DIV/0!</v>
      </c>
      <c r="T81" s="38"/>
      <c r="U81" s="38"/>
      <c r="V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</row>
    <row r="83">
      <c r="A83" s="114" t="s">
        <v>200</v>
      </c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</row>
    <row r="84">
      <c r="A84" s="135" t="s">
        <v>39</v>
      </c>
      <c r="B84" s="114" t="s">
        <v>201</v>
      </c>
      <c r="C84" s="114" t="s">
        <v>202</v>
      </c>
      <c r="D84" s="114" t="s">
        <v>203</v>
      </c>
      <c r="E84" s="114" t="s">
        <v>204</v>
      </c>
      <c r="F84" s="114" t="s">
        <v>221</v>
      </c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</row>
    <row r="85">
      <c r="A85" s="55" t="s">
        <v>206</v>
      </c>
      <c r="B85" s="116">
        <v>3.0</v>
      </c>
      <c r="C85" s="118">
        <v>1.0192</v>
      </c>
      <c r="D85" s="116" t="s">
        <v>234</v>
      </c>
      <c r="E85" s="116" t="s">
        <v>233</v>
      </c>
      <c r="F85" s="116" t="s">
        <v>232</v>
      </c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</row>
    <row r="86">
      <c r="A86" s="55" t="s">
        <v>207</v>
      </c>
      <c r="B86" s="116">
        <v>3.0</v>
      </c>
      <c r="C86" s="134">
        <v>1.418</v>
      </c>
      <c r="D86" s="116" t="s">
        <v>234</v>
      </c>
      <c r="E86" s="116" t="s">
        <v>233</v>
      </c>
      <c r="F86" s="116" t="s">
        <v>232</v>
      </c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</row>
    <row r="87">
      <c r="A87" s="55" t="s">
        <v>208</v>
      </c>
      <c r="B87" s="116">
        <v>1.0</v>
      </c>
      <c r="C87" s="134">
        <v>1.1332</v>
      </c>
      <c r="D87" s="116" t="s">
        <v>232</v>
      </c>
      <c r="E87" s="116" t="s">
        <v>234</v>
      </c>
      <c r="F87" s="116" t="s">
        <v>233</v>
      </c>
      <c r="G87" s="38"/>
      <c r="H87" s="38"/>
      <c r="I87" s="38"/>
      <c r="J87" s="38"/>
      <c r="K87" s="38"/>
      <c r="L87" s="38"/>
      <c r="M87" s="38"/>
      <c r="N87" s="38"/>
      <c r="P87" s="38"/>
      <c r="Q87" s="38"/>
      <c r="R87" s="38"/>
      <c r="S87" s="38"/>
      <c r="T87" s="38"/>
      <c r="U87" s="38"/>
      <c r="V87" s="38"/>
    </row>
    <row r="88">
      <c r="A88" s="55" t="s">
        <v>209</v>
      </c>
      <c r="B88" s="116">
        <v>1.0</v>
      </c>
      <c r="C88" s="134">
        <v>1.195</v>
      </c>
      <c r="D88" s="116" t="s">
        <v>232</v>
      </c>
      <c r="E88" s="116" t="s">
        <v>234</v>
      </c>
      <c r="F88" s="116" t="s">
        <v>233</v>
      </c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</row>
    <row r="89">
      <c r="A89" s="55" t="s">
        <v>210</v>
      </c>
      <c r="B89" s="116">
        <v>3.0</v>
      </c>
      <c r="C89" s="134">
        <v>1.3775</v>
      </c>
      <c r="D89" s="116" t="s">
        <v>233</v>
      </c>
      <c r="E89" s="116" t="s">
        <v>234</v>
      </c>
      <c r="F89" s="116" t="s">
        <v>232</v>
      </c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</row>
    <row r="90">
      <c r="A90" s="55" t="s">
        <v>211</v>
      </c>
      <c r="B90" s="116">
        <v>3.0</v>
      </c>
      <c r="C90" s="134">
        <v>1.3708</v>
      </c>
      <c r="D90" s="116" t="s">
        <v>233</v>
      </c>
      <c r="E90" s="116" t="s">
        <v>234</v>
      </c>
      <c r="F90" s="116" t="s">
        <v>232</v>
      </c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</row>
    <row r="91">
      <c r="A91" s="55" t="s">
        <v>212</v>
      </c>
      <c r="B91" s="116">
        <v>2.0</v>
      </c>
      <c r="C91" s="134">
        <v>1.6117</v>
      </c>
      <c r="D91" s="116" t="s">
        <v>233</v>
      </c>
      <c r="E91" s="116" t="s">
        <v>232</v>
      </c>
      <c r="F91" s="116" t="s">
        <v>234</v>
      </c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</row>
    <row r="92">
      <c r="A92" s="55" t="s">
        <v>213</v>
      </c>
      <c r="B92" s="116">
        <v>2.0</v>
      </c>
      <c r="C92" s="118">
        <v>1.7924</v>
      </c>
      <c r="D92" s="116" t="s">
        <v>233</v>
      </c>
      <c r="E92" s="116" t="s">
        <v>232</v>
      </c>
      <c r="F92" s="116" t="s">
        <v>234</v>
      </c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</row>
    <row r="93">
      <c r="A93" s="55" t="s">
        <v>214</v>
      </c>
      <c r="B93" s="116">
        <v>1.0</v>
      </c>
      <c r="C93" s="118">
        <v>1.2045</v>
      </c>
      <c r="D93" s="116" t="s">
        <v>232</v>
      </c>
      <c r="E93" s="116" t="s">
        <v>234</v>
      </c>
      <c r="F93" s="116" t="s">
        <v>233</v>
      </c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>
      <c r="A94" s="55" t="s">
        <v>215</v>
      </c>
      <c r="B94" s="116">
        <v>1.0</v>
      </c>
      <c r="C94" s="118">
        <v>1.1314</v>
      </c>
      <c r="D94" s="116" t="s">
        <v>232</v>
      </c>
      <c r="E94" s="116" t="s">
        <v>233</v>
      </c>
      <c r="F94" s="116" t="s">
        <v>234</v>
      </c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  <row r="95">
      <c r="A95" s="55" t="s">
        <v>216</v>
      </c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</row>
    <row r="96">
      <c r="A96" s="55" t="s">
        <v>217</v>
      </c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</row>
    <row r="97">
      <c r="A97" s="38"/>
      <c r="B97" s="38"/>
      <c r="C97" s="120">
        <f t="shared" ref="C97:E97" si="8">average(C85:C96)</f>
        <v>1.32537</v>
      </c>
      <c r="D97" s="120" t="str">
        <f t="shared" si="8"/>
        <v>#DIV/0!</v>
      </c>
      <c r="E97" s="120" t="str">
        <f t="shared" si="8"/>
        <v>#DIV/0!</v>
      </c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</row>
    <row r="104">
      <c r="A104" s="38"/>
      <c r="B104" s="38"/>
      <c r="C104" s="38"/>
      <c r="D104" s="38"/>
      <c r="E104" s="38"/>
      <c r="F104" s="136"/>
      <c r="G104" s="124"/>
      <c r="H104" s="124"/>
      <c r="I104" s="124"/>
      <c r="J104" s="124"/>
      <c r="K104" s="124"/>
      <c r="L104" s="124"/>
      <c r="M104" s="124"/>
      <c r="N104" s="124"/>
      <c r="O104" s="124"/>
      <c r="P104" s="38"/>
      <c r="Q104" s="38"/>
      <c r="R104" s="38"/>
      <c r="S104" s="38"/>
      <c r="T104" s="38"/>
      <c r="U104" s="38"/>
      <c r="V104" s="38"/>
    </row>
    <row r="105">
      <c r="A105" s="38"/>
      <c r="B105" s="38"/>
      <c r="C105" s="38"/>
      <c r="D105" s="38"/>
      <c r="E105" s="38"/>
      <c r="F105" s="136"/>
      <c r="G105" s="124"/>
      <c r="H105" s="124"/>
      <c r="I105" s="124"/>
      <c r="J105" s="124"/>
      <c r="K105" s="124"/>
      <c r="L105" s="124"/>
      <c r="M105" s="124"/>
      <c r="N105" s="124"/>
      <c r="O105" s="124"/>
      <c r="P105" s="38"/>
      <c r="Q105" s="38"/>
      <c r="R105" s="38"/>
      <c r="S105" s="38"/>
      <c r="T105" s="38"/>
      <c r="U105" s="38"/>
      <c r="V105" s="38"/>
    </row>
    <row r="106">
      <c r="A106" s="38"/>
      <c r="B106" s="38"/>
      <c r="C106" s="38"/>
      <c r="D106" s="38"/>
      <c r="E106" s="38"/>
      <c r="F106" s="136"/>
      <c r="G106" s="124"/>
      <c r="H106" s="124"/>
      <c r="I106" s="124"/>
      <c r="J106" s="124"/>
      <c r="K106" s="124"/>
      <c r="L106" s="124"/>
      <c r="M106" s="124"/>
      <c r="N106" s="124"/>
      <c r="O106" s="124"/>
      <c r="P106" s="38"/>
      <c r="Q106" s="38"/>
      <c r="R106" s="38"/>
      <c r="S106" s="38"/>
      <c r="T106" s="38"/>
      <c r="U106" s="38"/>
      <c r="V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</row>
  </sheetData>
  <mergeCells count="16">
    <mergeCell ref="A2:E2"/>
    <mergeCell ref="H2:K2"/>
    <mergeCell ref="O2:R2"/>
    <mergeCell ref="A18:E18"/>
    <mergeCell ref="H18:M18"/>
    <mergeCell ref="O18:U18"/>
    <mergeCell ref="A34:F34"/>
    <mergeCell ref="A67:F67"/>
    <mergeCell ref="A83:F83"/>
    <mergeCell ref="H34:M34"/>
    <mergeCell ref="O34:T34"/>
    <mergeCell ref="A51:F51"/>
    <mergeCell ref="H51:M51"/>
    <mergeCell ref="O51:T51"/>
    <mergeCell ref="H67:M67"/>
    <mergeCell ref="O67:T67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5.13"/>
    <col customWidth="1" min="3" max="3" width="22.88"/>
    <col customWidth="1" min="4" max="5" width="15.13"/>
    <col customWidth="1" min="13" max="13" width="13.63"/>
    <col customWidth="1" min="16" max="16" width="24.0"/>
    <col customWidth="1" min="17" max="17" width="14.88"/>
  </cols>
  <sheetData>
    <row r="1" ht="14.25" customHeight="1">
      <c r="A1" s="69" t="s">
        <v>0</v>
      </c>
      <c r="B1" s="42" t="s">
        <v>235</v>
      </c>
    </row>
    <row r="2" ht="11.25" customHeight="1">
      <c r="A2" s="3"/>
    </row>
    <row r="3">
      <c r="A3" s="3"/>
    </row>
    <row r="4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>
      <c r="A5" s="5" t="s">
        <v>2</v>
      </c>
      <c r="B5" s="5" t="s">
        <v>3</v>
      </c>
      <c r="C5" s="5" t="s">
        <v>4</v>
      </c>
      <c r="D5" s="6" t="s">
        <v>5</v>
      </c>
      <c r="E5" s="7" t="s">
        <v>6</v>
      </c>
      <c r="F5" s="4"/>
      <c r="G5" s="4"/>
      <c r="H5" s="4"/>
      <c r="I5" s="8"/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12</v>
      </c>
    </row>
    <row r="6">
      <c r="A6" s="8"/>
      <c r="B6" s="8"/>
      <c r="C6" s="8"/>
      <c r="D6" s="8"/>
      <c r="E6" s="9" t="s">
        <v>13</v>
      </c>
      <c r="F6" s="6" t="s">
        <v>14</v>
      </c>
      <c r="G6" s="9" t="s">
        <v>15</v>
      </c>
      <c r="H6" s="9" t="s">
        <v>16</v>
      </c>
      <c r="I6" s="9" t="s">
        <v>17</v>
      </c>
      <c r="J6" s="8"/>
      <c r="K6" s="8"/>
      <c r="L6" s="8"/>
      <c r="M6" s="8"/>
      <c r="N6" s="8"/>
      <c r="O6" s="8"/>
    </row>
    <row r="7">
      <c r="A7" s="10">
        <v>100.0</v>
      </c>
      <c r="B7" s="11" t="s">
        <v>18</v>
      </c>
      <c r="C7" s="11" t="s">
        <v>19</v>
      </c>
      <c r="D7" s="137">
        <f>570000000/90%</f>
        <v>633333333.3</v>
      </c>
      <c r="E7" s="96">
        <v>2.2517817986E8</v>
      </c>
      <c r="F7" s="97">
        <v>1.9723083301E8</v>
      </c>
      <c r="G7" s="94">
        <v>2.8983734777E8</v>
      </c>
      <c r="H7" s="13">
        <v>4.105209915E7</v>
      </c>
      <c r="I7" s="13"/>
      <c r="J7" s="14">
        <f t="shared" ref="J7:J9" si="1">SUM(E7:I7)</f>
        <v>753298459.8</v>
      </c>
      <c r="K7" s="15">
        <f t="shared" ref="K7:K27" si="2">J7/D7</f>
        <v>1.189418621</v>
      </c>
      <c r="L7" s="16">
        <f t="shared" ref="L7:L9" si="3">J7/O7*N7</f>
        <v>988704228.5</v>
      </c>
      <c r="M7" s="59">
        <f t="shared" ref="M7:M9" si="4">L7/D7</f>
        <v>1.56111194</v>
      </c>
      <c r="N7" s="18">
        <v>21.0</v>
      </c>
      <c r="O7" s="19">
        <v>16.0</v>
      </c>
      <c r="P7" s="20" t="s">
        <v>236</v>
      </c>
      <c r="Q7" s="47"/>
      <c r="R7" s="91"/>
    </row>
    <row r="8">
      <c r="A8" s="10">
        <v>6.0</v>
      </c>
      <c r="B8" s="11" t="s">
        <v>21</v>
      </c>
      <c r="C8" s="11" t="s">
        <v>19</v>
      </c>
      <c r="D8" s="12">
        <f>72000000/90%</f>
        <v>80000000</v>
      </c>
      <c r="E8" s="96">
        <v>1.496233219E7</v>
      </c>
      <c r="F8" s="97">
        <v>8609403.33</v>
      </c>
      <c r="G8" s="94">
        <v>1.411267506E7</v>
      </c>
      <c r="H8" s="13">
        <v>1564410.1</v>
      </c>
      <c r="I8" s="12"/>
      <c r="J8" s="14">
        <f t="shared" si="1"/>
        <v>39248820.68</v>
      </c>
      <c r="K8" s="15">
        <f t="shared" si="2"/>
        <v>0.4906102585</v>
      </c>
      <c r="L8" s="16">
        <f t="shared" si="3"/>
        <v>51514077.14</v>
      </c>
      <c r="M8" s="59">
        <f t="shared" si="4"/>
        <v>0.6439259643</v>
      </c>
      <c r="N8" s="18">
        <v>21.0</v>
      </c>
      <c r="O8" s="19">
        <v>16.0</v>
      </c>
      <c r="P8" s="20" t="s">
        <v>236</v>
      </c>
      <c r="Q8" s="47"/>
      <c r="R8" s="91"/>
    </row>
    <row r="9">
      <c r="A9" s="10">
        <v>64.0</v>
      </c>
      <c r="B9" s="10" t="s">
        <v>22</v>
      </c>
      <c r="C9" s="11" t="s">
        <v>19</v>
      </c>
      <c r="D9" s="12">
        <v>3.5E8</v>
      </c>
      <c r="E9" s="96">
        <v>5.16405E7</v>
      </c>
      <c r="F9" s="94">
        <v>5.90185E7</v>
      </c>
      <c r="G9" s="94">
        <v>6.4613E7</v>
      </c>
      <c r="H9" s="12">
        <v>8175500.0</v>
      </c>
      <c r="I9" s="12"/>
      <c r="J9" s="14">
        <f t="shared" si="1"/>
        <v>183447500</v>
      </c>
      <c r="K9" s="15">
        <f t="shared" si="2"/>
        <v>0.5241357143</v>
      </c>
      <c r="L9" s="16">
        <f t="shared" si="3"/>
        <v>252240312.5</v>
      </c>
      <c r="M9" s="59">
        <f t="shared" si="4"/>
        <v>0.7206866071</v>
      </c>
      <c r="N9" s="18">
        <v>22.0</v>
      </c>
      <c r="O9" s="19">
        <v>16.0</v>
      </c>
      <c r="P9" s="20" t="s">
        <v>236</v>
      </c>
      <c r="Q9" s="48"/>
      <c r="R9" s="91"/>
    </row>
    <row r="10">
      <c r="A10" s="10">
        <v>2.0</v>
      </c>
      <c r="B10" s="10" t="s">
        <v>24</v>
      </c>
      <c r="C10" s="10" t="s">
        <v>68</v>
      </c>
      <c r="D10" s="21">
        <v>1.0</v>
      </c>
      <c r="E10" s="21">
        <v>0.5147</v>
      </c>
      <c r="F10" s="21">
        <v>0.51</v>
      </c>
      <c r="G10" s="21">
        <v>0.5187</v>
      </c>
      <c r="H10" s="21">
        <v>0.5187</v>
      </c>
      <c r="I10" s="21"/>
      <c r="J10" s="57">
        <f t="shared" ref="J10:J11" si="5">H10</f>
        <v>0.5187</v>
      </c>
      <c r="K10" s="15">
        <f t="shared" si="2"/>
        <v>0.5187</v>
      </c>
      <c r="L10" s="58">
        <f t="shared" ref="L10:L11" si="6">K10</f>
        <v>0.5187</v>
      </c>
      <c r="M10" s="59">
        <f t="shared" ref="M10:M11" si="7">K10</f>
        <v>0.5187</v>
      </c>
      <c r="N10" s="18">
        <v>22.0</v>
      </c>
      <c r="O10" s="19">
        <v>16.0</v>
      </c>
      <c r="P10" s="20" t="s">
        <v>236</v>
      </c>
      <c r="Q10" s="48"/>
      <c r="R10" s="91"/>
    </row>
    <row r="11">
      <c r="A11" s="10">
        <v>10.0</v>
      </c>
      <c r="B11" s="10" t="s">
        <v>25</v>
      </c>
      <c r="C11" s="11" t="s">
        <v>26</v>
      </c>
      <c r="D11" s="21">
        <v>0.8</v>
      </c>
      <c r="E11" s="21">
        <v>0.0329</v>
      </c>
      <c r="F11" s="21">
        <v>0.4556</v>
      </c>
      <c r="G11" s="21">
        <v>0.8676</v>
      </c>
      <c r="H11" s="21">
        <v>0.8676</v>
      </c>
      <c r="I11" s="24"/>
      <c r="J11" s="57">
        <f t="shared" si="5"/>
        <v>0.8676</v>
      </c>
      <c r="K11" s="15">
        <f t="shared" si="2"/>
        <v>1.0845</v>
      </c>
      <c r="L11" s="98">
        <f t="shared" si="6"/>
        <v>1.0845</v>
      </c>
      <c r="M11" s="78">
        <f t="shared" si="7"/>
        <v>1.0845</v>
      </c>
      <c r="N11" s="18">
        <v>22.0</v>
      </c>
      <c r="O11" s="19">
        <v>16.0</v>
      </c>
      <c r="P11" s="20" t="s">
        <v>236</v>
      </c>
      <c r="Q11" s="48"/>
      <c r="R11" s="92"/>
    </row>
    <row r="12">
      <c r="A12" s="10">
        <v>21.0</v>
      </c>
      <c r="B12" s="10" t="s">
        <v>27</v>
      </c>
      <c r="C12" s="11" t="s">
        <v>19</v>
      </c>
      <c r="D12" s="19">
        <v>1547.0</v>
      </c>
      <c r="E12" s="18">
        <v>107.0</v>
      </c>
      <c r="F12" s="18">
        <v>209.0</v>
      </c>
      <c r="G12" s="18">
        <v>226.0</v>
      </c>
      <c r="H12" s="18">
        <v>154.0</v>
      </c>
      <c r="I12" s="29">
        <v>178.0</v>
      </c>
      <c r="J12" s="30">
        <f t="shared" ref="J12:J25" si="8">SUM(E12:I12)</f>
        <v>874</v>
      </c>
      <c r="K12" s="15">
        <f t="shared" si="2"/>
        <v>0.5649644473</v>
      </c>
      <c r="L12" s="16">
        <f t="shared" ref="L12:L25" si="9">J12/O12*N12</f>
        <v>874</v>
      </c>
      <c r="M12" s="59">
        <f t="shared" ref="M12:M25" si="10">L12/D12</f>
        <v>0.5649644473</v>
      </c>
      <c r="N12" s="18">
        <v>22.0</v>
      </c>
      <c r="O12" s="18">
        <v>22.0</v>
      </c>
      <c r="P12" s="20" t="s">
        <v>148</v>
      </c>
      <c r="Q12" s="48"/>
      <c r="R12" s="91"/>
    </row>
    <row r="13">
      <c r="A13" s="10">
        <v>15.0</v>
      </c>
      <c r="B13" s="10" t="s">
        <v>29</v>
      </c>
      <c r="C13" s="11" t="s">
        <v>19</v>
      </c>
      <c r="D13" s="19">
        <v>5.6677E7</v>
      </c>
      <c r="E13" s="19">
        <v>6782000.0</v>
      </c>
      <c r="F13" s="12">
        <v>1.2937E7</v>
      </c>
      <c r="G13" s="12">
        <v>1.416E7</v>
      </c>
      <c r="H13" s="12">
        <v>5612000.0</v>
      </c>
      <c r="I13" s="19">
        <v>1.7562E7</v>
      </c>
      <c r="J13" s="30">
        <f t="shared" si="8"/>
        <v>57053000</v>
      </c>
      <c r="K13" s="15">
        <f t="shared" si="2"/>
        <v>1.006634084</v>
      </c>
      <c r="L13" s="16">
        <f t="shared" si="9"/>
        <v>57053000</v>
      </c>
      <c r="M13" s="59">
        <f t="shared" si="10"/>
        <v>1.006634084</v>
      </c>
      <c r="N13" s="18">
        <v>22.0</v>
      </c>
      <c r="O13" s="18">
        <v>22.0</v>
      </c>
      <c r="P13" s="20" t="s">
        <v>148</v>
      </c>
      <c r="Q13" s="48"/>
      <c r="R13" s="91"/>
    </row>
    <row r="14">
      <c r="A14" s="10">
        <v>35.0</v>
      </c>
      <c r="B14" s="10" t="s">
        <v>31</v>
      </c>
      <c r="C14" s="11" t="s">
        <v>19</v>
      </c>
      <c r="D14" s="12">
        <v>3.4182375914E8</v>
      </c>
      <c r="E14" s="19">
        <v>6.9186561E7</v>
      </c>
      <c r="F14" s="19">
        <v>9.0833443E7</v>
      </c>
      <c r="G14" s="19">
        <v>6.5330493E7</v>
      </c>
      <c r="H14" s="19"/>
      <c r="I14" s="19"/>
      <c r="J14" s="30">
        <f t="shared" si="8"/>
        <v>225350497</v>
      </c>
      <c r="K14" s="15">
        <f t="shared" si="2"/>
        <v>0.6592593141</v>
      </c>
      <c r="L14" s="16">
        <f t="shared" si="9"/>
        <v>330514062.3</v>
      </c>
      <c r="M14" s="59">
        <f t="shared" si="10"/>
        <v>0.9669136607</v>
      </c>
      <c r="N14" s="18">
        <v>22.0</v>
      </c>
      <c r="O14" s="18">
        <v>15.0</v>
      </c>
      <c r="P14" s="20" t="s">
        <v>237</v>
      </c>
      <c r="Q14" s="48"/>
      <c r="R14" s="91"/>
    </row>
    <row r="15" ht="17.25" customHeight="1">
      <c r="A15" s="10">
        <v>102.0</v>
      </c>
      <c r="B15" s="11" t="s">
        <v>32</v>
      </c>
      <c r="C15" s="11" t="s">
        <v>19</v>
      </c>
      <c r="D15" s="19">
        <v>18547.0</v>
      </c>
      <c r="E15" s="18">
        <v>3447.0</v>
      </c>
      <c r="F15" s="60">
        <f>712+816+600+550</f>
        <v>2678</v>
      </c>
      <c r="G15" s="60">
        <v>1259.0</v>
      </c>
      <c r="H15" s="18">
        <v>3338.0</v>
      </c>
      <c r="I15" s="18"/>
      <c r="J15" s="30">
        <f t="shared" si="8"/>
        <v>10722</v>
      </c>
      <c r="K15" s="15">
        <f t="shared" si="2"/>
        <v>0.5780988839</v>
      </c>
      <c r="L15" s="16">
        <f t="shared" si="9"/>
        <v>14742.75</v>
      </c>
      <c r="M15" s="59">
        <f t="shared" si="10"/>
        <v>0.7948859654</v>
      </c>
      <c r="N15" s="18">
        <v>22.0</v>
      </c>
      <c r="O15" s="18">
        <v>16.0</v>
      </c>
      <c r="P15" s="20" t="s">
        <v>236</v>
      </c>
      <c r="Q15" s="47"/>
      <c r="R15" s="91"/>
    </row>
    <row r="16">
      <c r="A16" s="10">
        <v>5.0</v>
      </c>
      <c r="B16" s="10" t="s">
        <v>117</v>
      </c>
      <c r="C16" s="11" t="s">
        <v>19</v>
      </c>
      <c r="D16" s="19">
        <v>1226.0</v>
      </c>
      <c r="E16" s="62">
        <v>200.0</v>
      </c>
      <c r="F16" s="63">
        <f>174+44+44</f>
        <v>262</v>
      </c>
      <c r="G16" s="63">
        <v>71.0</v>
      </c>
      <c r="H16" s="18">
        <v>151.0</v>
      </c>
      <c r="I16" s="18"/>
      <c r="J16" s="45">
        <f t="shared" si="8"/>
        <v>684</v>
      </c>
      <c r="K16" s="15">
        <f t="shared" si="2"/>
        <v>0.5579119086</v>
      </c>
      <c r="L16" s="16">
        <f t="shared" si="9"/>
        <v>940.5</v>
      </c>
      <c r="M16" s="59">
        <f t="shared" si="10"/>
        <v>0.7671288744</v>
      </c>
      <c r="N16" s="18">
        <v>22.0</v>
      </c>
      <c r="O16" s="18">
        <f t="shared" ref="O16:P16" si="11">O15</f>
        <v>16</v>
      </c>
      <c r="P16" s="20" t="str">
        <f t="shared" si="11"/>
        <v>as of September 22, 2025</v>
      </c>
      <c r="Q16" s="48"/>
      <c r="R16" s="91"/>
    </row>
    <row r="17">
      <c r="A17" s="10">
        <v>13.0</v>
      </c>
      <c r="B17" s="10" t="s">
        <v>118</v>
      </c>
      <c r="C17" s="11" t="s">
        <v>19</v>
      </c>
      <c r="D17" s="19">
        <v>1924.0</v>
      </c>
      <c r="E17" s="62">
        <v>271.0</v>
      </c>
      <c r="F17" s="63">
        <f>149+71+64</f>
        <v>284</v>
      </c>
      <c r="G17" s="63">
        <v>86.0</v>
      </c>
      <c r="H17" s="18">
        <v>454.0</v>
      </c>
      <c r="I17" s="18"/>
      <c r="J17" s="45">
        <f t="shared" si="8"/>
        <v>1095</v>
      </c>
      <c r="K17" s="15">
        <f t="shared" si="2"/>
        <v>0.5691268191</v>
      </c>
      <c r="L17" s="16">
        <f t="shared" si="9"/>
        <v>1505.625</v>
      </c>
      <c r="M17" s="59">
        <f t="shared" si="10"/>
        <v>0.7825493763</v>
      </c>
      <c r="N17" s="18">
        <v>22.0</v>
      </c>
      <c r="O17" s="18">
        <f t="shared" ref="O17:P17" si="12">O16</f>
        <v>16</v>
      </c>
      <c r="P17" s="20" t="str">
        <f t="shared" si="12"/>
        <v>as of September 22, 2025</v>
      </c>
      <c r="Q17" s="48"/>
      <c r="R17" s="91"/>
    </row>
    <row r="18">
      <c r="A18" s="10">
        <v>39.0</v>
      </c>
      <c r="B18" s="11" t="s">
        <v>35</v>
      </c>
      <c r="C18" s="11" t="s">
        <v>19</v>
      </c>
      <c r="D18" s="19">
        <v>4.9686E8</v>
      </c>
      <c r="E18" s="80">
        <f>55839000+64501816+38259000+30609000+40081000</f>
        <v>229289816</v>
      </c>
      <c r="F18" s="82">
        <f>65481500+48116500+44389200+42351500+53094000</f>
        <v>253432700</v>
      </c>
      <c r="G18" s="82">
        <f>42475000+59095300+42091000+43000000</f>
        <v>186661300</v>
      </c>
      <c r="H18" s="19"/>
      <c r="I18" s="19"/>
      <c r="J18" s="30">
        <f t="shared" si="8"/>
        <v>669383816</v>
      </c>
      <c r="K18" s="15">
        <f t="shared" si="2"/>
        <v>1.347228225</v>
      </c>
      <c r="L18" s="16">
        <f t="shared" si="9"/>
        <v>1051888854</v>
      </c>
      <c r="M18" s="59">
        <f t="shared" si="10"/>
        <v>2.117072925</v>
      </c>
      <c r="N18" s="18">
        <v>22.0</v>
      </c>
      <c r="O18" s="18">
        <v>14.0</v>
      </c>
      <c r="P18" s="20" t="s">
        <v>238</v>
      </c>
      <c r="Q18" s="47"/>
      <c r="R18" s="91"/>
    </row>
    <row r="19">
      <c r="A19" s="10">
        <v>5.0</v>
      </c>
      <c r="B19" s="11" t="s">
        <v>37</v>
      </c>
      <c r="C19" s="11" t="s">
        <v>19</v>
      </c>
      <c r="D19" s="12">
        <v>800.0</v>
      </c>
      <c r="E19" s="80">
        <f>35+26+29+19+26</f>
        <v>135</v>
      </c>
      <c r="F19" s="81">
        <f>19+26+31+20+41</f>
        <v>137</v>
      </c>
      <c r="G19" s="82">
        <f>27+23+23+32</f>
        <v>105</v>
      </c>
      <c r="H19" s="34"/>
      <c r="I19" s="34"/>
      <c r="J19" s="30">
        <f t="shared" si="8"/>
        <v>377</v>
      </c>
      <c r="K19" s="15">
        <f t="shared" si="2"/>
        <v>0.47125</v>
      </c>
      <c r="L19" s="16">
        <f t="shared" si="9"/>
        <v>592.4285714</v>
      </c>
      <c r="M19" s="59">
        <f t="shared" si="10"/>
        <v>0.7405357143</v>
      </c>
      <c r="N19" s="18">
        <f t="shared" ref="N19:P19" si="13">N18</f>
        <v>22</v>
      </c>
      <c r="O19" s="18">
        <f t="shared" si="13"/>
        <v>14</v>
      </c>
      <c r="P19" s="61" t="str">
        <f t="shared" si="13"/>
        <v>as of September 18, 2025</v>
      </c>
      <c r="Q19" s="47"/>
      <c r="R19" s="91"/>
    </row>
    <row r="20">
      <c r="A20" s="10">
        <v>15.0</v>
      </c>
      <c r="B20" s="11" t="s">
        <v>38</v>
      </c>
      <c r="C20" s="11" t="s">
        <v>19</v>
      </c>
      <c r="D20" s="12">
        <v>5000.0</v>
      </c>
      <c r="E20" s="80">
        <f>140+160+142+214+228</f>
        <v>884</v>
      </c>
      <c r="F20" s="89">
        <f>274+231+260+190+236</f>
        <v>1191</v>
      </c>
      <c r="G20" s="90">
        <f>246+200+206+214</f>
        <v>866</v>
      </c>
      <c r="H20" s="29"/>
      <c r="I20" s="29"/>
      <c r="J20" s="30">
        <f t="shared" si="8"/>
        <v>2941</v>
      </c>
      <c r="K20" s="15">
        <f t="shared" si="2"/>
        <v>0.5882</v>
      </c>
      <c r="L20" s="16">
        <f t="shared" si="9"/>
        <v>4621.571429</v>
      </c>
      <c r="M20" s="59">
        <f t="shared" si="10"/>
        <v>0.9243142857</v>
      </c>
      <c r="N20" s="18">
        <f t="shared" ref="N20:P20" si="14">N19</f>
        <v>22</v>
      </c>
      <c r="O20" s="18">
        <f t="shared" si="14"/>
        <v>14</v>
      </c>
      <c r="P20" s="61" t="str">
        <f t="shared" si="14"/>
        <v>as of September 18, 2025</v>
      </c>
      <c r="Q20" s="47"/>
      <c r="R20" s="91"/>
    </row>
    <row r="21">
      <c r="A21" s="10">
        <v>20.0</v>
      </c>
      <c r="B21" s="10" t="s">
        <v>39</v>
      </c>
      <c r="C21" s="11" t="s">
        <v>19</v>
      </c>
      <c r="D21" s="12">
        <v>4400.0</v>
      </c>
      <c r="E21" s="19">
        <f>196+165+190+166+151</f>
        <v>868</v>
      </c>
      <c r="F21" s="29">
        <f>215+200+224+184+181</f>
        <v>1004</v>
      </c>
      <c r="G21" s="19">
        <f>206+206+198+170</f>
        <v>780</v>
      </c>
      <c r="H21" s="29"/>
      <c r="I21" s="29"/>
      <c r="J21" s="30">
        <f t="shared" si="8"/>
        <v>2652</v>
      </c>
      <c r="K21" s="15">
        <f t="shared" si="2"/>
        <v>0.6027272727</v>
      </c>
      <c r="L21" s="16">
        <f t="shared" si="9"/>
        <v>4167.428571</v>
      </c>
      <c r="M21" s="59">
        <f t="shared" si="10"/>
        <v>0.9471428571</v>
      </c>
      <c r="N21" s="18">
        <f t="shared" ref="N21:P21" si="15">N20</f>
        <v>22</v>
      </c>
      <c r="O21" s="18">
        <f t="shared" si="15"/>
        <v>14</v>
      </c>
      <c r="P21" s="61" t="str">
        <f t="shared" si="15"/>
        <v>as of September 18, 2025</v>
      </c>
      <c r="Q21" s="48"/>
      <c r="R21" s="91"/>
    </row>
    <row r="22">
      <c r="A22" s="10">
        <v>20.0</v>
      </c>
      <c r="B22" s="10" t="s">
        <v>40</v>
      </c>
      <c r="C22" s="11" t="s">
        <v>19</v>
      </c>
      <c r="D22" s="12">
        <v>180.0</v>
      </c>
      <c r="E22" s="19">
        <v>25.0</v>
      </c>
      <c r="F22" s="29">
        <v>49.0</v>
      </c>
      <c r="G22" s="29">
        <v>48.0</v>
      </c>
      <c r="H22" s="29">
        <v>3.0</v>
      </c>
      <c r="I22" s="29"/>
      <c r="J22" s="30">
        <f t="shared" si="8"/>
        <v>125</v>
      </c>
      <c r="K22" s="15">
        <f t="shared" si="2"/>
        <v>0.6944444444</v>
      </c>
      <c r="L22" s="16">
        <f t="shared" si="9"/>
        <v>171.875</v>
      </c>
      <c r="M22" s="59">
        <f t="shared" si="10"/>
        <v>0.9548611111</v>
      </c>
      <c r="N22" s="18">
        <v>22.0</v>
      </c>
      <c r="O22" s="18">
        <v>16.0</v>
      </c>
      <c r="P22" s="20" t="s">
        <v>236</v>
      </c>
      <c r="Q22" s="48"/>
      <c r="R22" s="91"/>
    </row>
    <row r="23">
      <c r="A23" s="10">
        <v>21.0</v>
      </c>
      <c r="B23" s="10" t="s">
        <v>73</v>
      </c>
      <c r="C23" s="11" t="s">
        <v>19</v>
      </c>
      <c r="D23" s="12">
        <v>2394.0</v>
      </c>
      <c r="E23" s="19">
        <v>420.0</v>
      </c>
      <c r="F23" s="29">
        <v>687.0</v>
      </c>
      <c r="G23" s="29">
        <v>637.0</v>
      </c>
      <c r="H23" s="32">
        <v>640.0</v>
      </c>
      <c r="I23" s="29">
        <v>121.0</v>
      </c>
      <c r="J23" s="30">
        <f t="shared" si="8"/>
        <v>2505</v>
      </c>
      <c r="K23" s="15">
        <f t="shared" si="2"/>
        <v>1.046365915</v>
      </c>
      <c r="L23" s="16">
        <f t="shared" si="9"/>
        <v>2755.5</v>
      </c>
      <c r="M23" s="59">
        <f t="shared" si="10"/>
        <v>1.151002506</v>
      </c>
      <c r="N23" s="18">
        <v>22.0</v>
      </c>
      <c r="O23" s="18">
        <v>20.0</v>
      </c>
      <c r="P23" s="20" t="s">
        <v>236</v>
      </c>
      <c r="Q23" s="48"/>
      <c r="R23" s="91"/>
    </row>
    <row r="24">
      <c r="A24" s="10">
        <v>5.0</v>
      </c>
      <c r="B24" s="10" t="s">
        <v>134</v>
      </c>
      <c r="C24" s="11" t="s">
        <v>19</v>
      </c>
      <c r="D24" s="12">
        <v>4.25E7</v>
      </c>
      <c r="E24" s="19">
        <v>1.1923797E7</v>
      </c>
      <c r="F24" s="12">
        <v>8338600.0</v>
      </c>
      <c r="G24" s="12">
        <v>1.2547266E7</v>
      </c>
      <c r="H24" s="12">
        <v>2510600.0</v>
      </c>
      <c r="I24" s="12"/>
      <c r="J24" s="30">
        <f t="shared" si="8"/>
        <v>35320263</v>
      </c>
      <c r="K24" s="15">
        <f t="shared" si="2"/>
        <v>0.8310650118</v>
      </c>
      <c r="L24" s="16">
        <f t="shared" si="9"/>
        <v>48565361.63</v>
      </c>
      <c r="M24" s="59">
        <f t="shared" si="10"/>
        <v>1.142714391</v>
      </c>
      <c r="N24" s="18">
        <v>22.0</v>
      </c>
      <c r="O24" s="18">
        <v>16.0</v>
      </c>
      <c r="P24" s="20" t="s">
        <v>236</v>
      </c>
      <c r="Q24" s="48"/>
      <c r="R24" s="91"/>
    </row>
    <row r="25">
      <c r="A25" s="10">
        <v>3.0</v>
      </c>
      <c r="B25" s="10" t="s">
        <v>43</v>
      </c>
      <c r="C25" s="11" t="s">
        <v>19</v>
      </c>
      <c r="D25" s="12">
        <v>40.0</v>
      </c>
      <c r="E25" s="12">
        <v>11.0</v>
      </c>
      <c r="F25" s="12">
        <v>8.0</v>
      </c>
      <c r="G25" s="12">
        <v>8.0</v>
      </c>
      <c r="H25" s="12">
        <v>3.0</v>
      </c>
      <c r="I25" s="12"/>
      <c r="J25" s="14">
        <f t="shared" si="8"/>
        <v>30</v>
      </c>
      <c r="K25" s="15">
        <f t="shared" si="2"/>
        <v>0.75</v>
      </c>
      <c r="L25" s="16">
        <f t="shared" si="9"/>
        <v>41.25</v>
      </c>
      <c r="M25" s="59">
        <f t="shared" si="10"/>
        <v>1.03125</v>
      </c>
      <c r="N25" s="18">
        <v>22.0</v>
      </c>
      <c r="O25" s="18">
        <v>16.0</v>
      </c>
      <c r="P25" s="20" t="s">
        <v>236</v>
      </c>
      <c r="Q25" s="48"/>
      <c r="R25" s="91"/>
    </row>
    <row r="26">
      <c r="A26" s="10">
        <v>45.0</v>
      </c>
      <c r="B26" s="10" t="s">
        <v>44</v>
      </c>
      <c r="C26" s="11" t="s">
        <v>19</v>
      </c>
      <c r="D26" s="21">
        <v>0.85</v>
      </c>
      <c r="E26" s="21">
        <v>0.83</v>
      </c>
      <c r="F26" s="24">
        <v>0.86</v>
      </c>
      <c r="G26" s="24">
        <v>0.86</v>
      </c>
      <c r="H26" s="24">
        <v>0.9145</v>
      </c>
      <c r="I26" s="24"/>
      <c r="J26" s="57">
        <f t="shared" ref="J26:J27" si="17">AVERAGE(E26:I26)</f>
        <v>0.866125</v>
      </c>
      <c r="K26" s="15">
        <f t="shared" si="2"/>
        <v>1.018970588</v>
      </c>
      <c r="L26" s="15">
        <f t="shared" ref="L26:M26" si="16">J26</f>
        <v>0.866125</v>
      </c>
      <c r="M26" s="59">
        <f t="shared" si="16"/>
        <v>1.018970588</v>
      </c>
      <c r="N26" s="18">
        <v>30.0</v>
      </c>
      <c r="O26" s="60">
        <v>22.0</v>
      </c>
      <c r="P26" s="20" t="s">
        <v>236</v>
      </c>
      <c r="Q26" s="48"/>
      <c r="R26" s="91"/>
    </row>
    <row r="27">
      <c r="A27" s="10">
        <v>69.0</v>
      </c>
      <c r="B27" s="10" t="s">
        <v>120</v>
      </c>
      <c r="C27" s="10" t="s">
        <v>121</v>
      </c>
      <c r="D27" s="21">
        <v>0.85</v>
      </c>
      <c r="E27" s="23">
        <v>0.7414</v>
      </c>
      <c r="F27" s="44">
        <v>0.7351</v>
      </c>
      <c r="G27" s="24">
        <v>0.8061</v>
      </c>
      <c r="H27" s="24"/>
      <c r="I27" s="24"/>
      <c r="J27" s="23">
        <f t="shared" si="17"/>
        <v>0.7608666667</v>
      </c>
      <c r="K27" s="15">
        <f t="shared" si="2"/>
        <v>0.8951372549</v>
      </c>
      <c r="L27" s="15">
        <f>K27</f>
        <v>0.8951372549</v>
      </c>
      <c r="M27" s="59">
        <f>K27</f>
        <v>0.8951372549</v>
      </c>
      <c r="N27" s="62">
        <v>30.0</v>
      </c>
      <c r="O27" s="83">
        <v>19.0</v>
      </c>
      <c r="P27" s="20" t="s">
        <v>236</v>
      </c>
      <c r="Q27" s="48"/>
      <c r="R27" s="91"/>
    </row>
    <row r="28">
      <c r="A28" s="35"/>
      <c r="B28" s="35"/>
      <c r="C28" s="35"/>
      <c r="D28" s="36"/>
      <c r="E28" s="37"/>
      <c r="F28" s="38"/>
      <c r="G28" s="38"/>
      <c r="H28" s="36"/>
      <c r="I28" s="38"/>
      <c r="J28" s="37"/>
      <c r="K28" s="39"/>
      <c r="L28" s="40"/>
      <c r="M28" s="41"/>
      <c r="N28" s="38"/>
      <c r="O28" s="38"/>
      <c r="R28" s="91"/>
    </row>
    <row r="29" ht="15.0" customHeight="1">
      <c r="A29" s="1" t="s">
        <v>0</v>
      </c>
      <c r="B29" s="42" t="s">
        <v>239</v>
      </c>
    </row>
    <row r="30" ht="10.5" customHeight="1">
      <c r="A30" s="3"/>
    </row>
    <row r="31">
      <c r="A31" s="3"/>
    </row>
    <row r="32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>
      <c r="A33" s="5" t="s">
        <v>2</v>
      </c>
      <c r="B33" s="5" t="s">
        <v>3</v>
      </c>
      <c r="C33" s="5" t="s">
        <v>4</v>
      </c>
      <c r="D33" s="6" t="s">
        <v>5</v>
      </c>
      <c r="E33" s="7" t="s">
        <v>6</v>
      </c>
      <c r="F33" s="4"/>
      <c r="G33" s="4"/>
      <c r="H33" s="4"/>
      <c r="I33" s="8"/>
      <c r="J33" s="6" t="s">
        <v>7</v>
      </c>
      <c r="K33" s="6" t="s">
        <v>8</v>
      </c>
      <c r="L33" s="6" t="s">
        <v>9</v>
      </c>
      <c r="M33" s="6" t="s">
        <v>10</v>
      </c>
      <c r="N33" s="6" t="s">
        <v>11</v>
      </c>
      <c r="O33" s="6" t="s">
        <v>12</v>
      </c>
    </row>
    <row r="34">
      <c r="A34" s="8"/>
      <c r="B34" s="8"/>
      <c r="C34" s="8"/>
      <c r="D34" s="8"/>
      <c r="E34" s="9" t="s">
        <v>13</v>
      </c>
      <c r="F34" s="9" t="s">
        <v>14</v>
      </c>
      <c r="G34" s="9" t="s">
        <v>15</v>
      </c>
      <c r="H34" s="9" t="s">
        <v>16</v>
      </c>
      <c r="I34" s="9" t="s">
        <v>17</v>
      </c>
      <c r="J34" s="8"/>
      <c r="K34" s="8"/>
      <c r="L34" s="8"/>
      <c r="M34" s="8"/>
      <c r="N34" s="8"/>
      <c r="O34" s="8"/>
    </row>
    <row r="35">
      <c r="A35" s="10">
        <v>100.0</v>
      </c>
      <c r="B35" s="11" t="s">
        <v>18</v>
      </c>
      <c r="C35" s="11" t="s">
        <v>19</v>
      </c>
      <c r="D35" s="138">
        <v>5.7E8</v>
      </c>
      <c r="E35" s="12">
        <v>1.4799125734E8</v>
      </c>
      <c r="F35" s="12">
        <v>1.6571624634E8</v>
      </c>
      <c r="G35" s="12">
        <f>59106336.87+174214380.45</f>
        <v>233320717.3</v>
      </c>
      <c r="H35" s="13"/>
      <c r="I35" s="13"/>
      <c r="J35" s="14">
        <f t="shared" ref="J35:J37" si="18">SUM(E35:I35)</f>
        <v>547028221</v>
      </c>
      <c r="K35" s="15">
        <f t="shared" ref="K35:K38" si="19">J35/D35</f>
        <v>0.9596986333</v>
      </c>
      <c r="L35" s="16">
        <f t="shared" ref="L35:L37" si="20">J35/O35*N35</f>
        <v>859615775.9</v>
      </c>
      <c r="M35" s="59">
        <f t="shared" ref="M35:M37" si="21">L35/D35</f>
        <v>1.508097852</v>
      </c>
      <c r="N35" s="18">
        <v>22.0</v>
      </c>
      <c r="O35" s="19">
        <v>14.0</v>
      </c>
      <c r="P35" s="20" t="s">
        <v>240</v>
      </c>
    </row>
    <row r="36">
      <c r="A36" s="10">
        <v>6.0</v>
      </c>
      <c r="B36" s="11" t="s">
        <v>21</v>
      </c>
      <c r="C36" s="11" t="s">
        <v>19</v>
      </c>
      <c r="D36" s="19">
        <v>7.2E7</v>
      </c>
      <c r="E36" s="12">
        <v>1.112537854E7</v>
      </c>
      <c r="F36" s="12">
        <v>9221070.47</v>
      </c>
      <c r="G36" s="12">
        <f>3084591.97+5700633.02</f>
        <v>8785224.99</v>
      </c>
      <c r="H36" s="13"/>
      <c r="I36" s="12"/>
      <c r="J36" s="14">
        <f t="shared" si="18"/>
        <v>29131674</v>
      </c>
      <c r="K36" s="15">
        <f t="shared" si="19"/>
        <v>0.4046065833</v>
      </c>
      <c r="L36" s="16">
        <f t="shared" si="20"/>
        <v>45778344.86</v>
      </c>
      <c r="M36" s="59">
        <f t="shared" si="21"/>
        <v>0.6358103452</v>
      </c>
      <c r="N36" s="18">
        <v>22.0</v>
      </c>
      <c r="O36" s="19">
        <v>14.0</v>
      </c>
      <c r="P36" s="20" t="s">
        <v>240</v>
      </c>
    </row>
    <row r="37">
      <c r="A37" s="10">
        <v>64.0</v>
      </c>
      <c r="B37" s="10" t="s">
        <v>22</v>
      </c>
      <c r="C37" s="11" t="s">
        <v>19</v>
      </c>
      <c r="D37" s="19">
        <v>3.0E8</v>
      </c>
      <c r="E37" s="12">
        <v>5.47165E7</v>
      </c>
      <c r="F37" s="12">
        <v>4.75255E7</v>
      </c>
      <c r="G37" s="12">
        <v>4.27115E7</v>
      </c>
      <c r="H37" s="12">
        <v>1.8157E7</v>
      </c>
      <c r="I37" s="12"/>
      <c r="J37" s="14">
        <f t="shared" si="18"/>
        <v>163110500</v>
      </c>
      <c r="K37" s="15">
        <f t="shared" si="19"/>
        <v>0.5437016667</v>
      </c>
      <c r="L37" s="16">
        <f t="shared" si="20"/>
        <v>224276937.5</v>
      </c>
      <c r="M37" s="59">
        <f t="shared" si="21"/>
        <v>0.7475897917</v>
      </c>
      <c r="N37" s="18">
        <v>22.0</v>
      </c>
      <c r="O37" s="19">
        <v>16.0</v>
      </c>
      <c r="P37" s="20" t="s">
        <v>236</v>
      </c>
    </row>
    <row r="38">
      <c r="A38" s="10">
        <v>2.0</v>
      </c>
      <c r="B38" s="10" t="s">
        <v>24</v>
      </c>
      <c r="C38" s="10" t="s">
        <v>68</v>
      </c>
      <c r="D38" s="21">
        <v>1.0</v>
      </c>
      <c r="E38" s="21">
        <v>0.5147</v>
      </c>
      <c r="F38" s="21">
        <v>0.51</v>
      </c>
      <c r="G38" s="21">
        <v>0.5187</v>
      </c>
      <c r="H38" s="21">
        <v>0.5187</v>
      </c>
      <c r="I38" s="21"/>
      <c r="J38" s="57">
        <f t="shared" ref="J38:J39" si="22">H38</f>
        <v>0.5187</v>
      </c>
      <c r="K38" s="15">
        <f t="shared" si="19"/>
        <v>0.5187</v>
      </c>
      <c r="L38" s="58">
        <f>K38</f>
        <v>0.5187</v>
      </c>
      <c r="M38" s="59">
        <f t="shared" ref="M38:M39" si="24">K38</f>
        <v>0.5187</v>
      </c>
      <c r="N38" s="18">
        <v>22.0</v>
      </c>
      <c r="O38" s="19">
        <v>16.0</v>
      </c>
      <c r="P38" s="20" t="s">
        <v>236</v>
      </c>
    </row>
    <row r="39">
      <c r="A39" s="10">
        <v>10.0</v>
      </c>
      <c r="B39" s="10" t="s">
        <v>25</v>
      </c>
      <c r="C39" s="11" t="s">
        <v>26</v>
      </c>
      <c r="D39" s="21">
        <v>0.8</v>
      </c>
      <c r="E39" s="21">
        <v>0.0329</v>
      </c>
      <c r="F39" s="21">
        <v>0.4556</v>
      </c>
      <c r="G39" s="21">
        <v>0.8676</v>
      </c>
      <c r="H39" s="21">
        <v>0.8676</v>
      </c>
      <c r="I39" s="24"/>
      <c r="J39" s="57">
        <f t="shared" si="22"/>
        <v>0.8676</v>
      </c>
      <c r="K39" s="15">
        <f t="shared" ref="K39:L39" si="23">J39</f>
        <v>0.8676</v>
      </c>
      <c r="L39" s="58">
        <f t="shared" si="23"/>
        <v>0.8676</v>
      </c>
      <c r="M39" s="78">
        <f t="shared" si="24"/>
        <v>0.8676</v>
      </c>
      <c r="N39" s="18">
        <v>22.0</v>
      </c>
      <c r="O39" s="19">
        <v>16.0</v>
      </c>
      <c r="P39" s="20" t="s">
        <v>236</v>
      </c>
    </row>
    <row r="40">
      <c r="A40" s="10">
        <v>26.0</v>
      </c>
      <c r="B40" s="10" t="s">
        <v>27</v>
      </c>
      <c r="C40" s="10" t="s">
        <v>109</v>
      </c>
      <c r="D40" s="19">
        <v>882.0</v>
      </c>
      <c r="E40" s="18">
        <v>303.0</v>
      </c>
      <c r="F40" s="18">
        <v>86.0</v>
      </c>
      <c r="G40" s="18">
        <v>38.0</v>
      </c>
      <c r="H40" s="18"/>
      <c r="I40" s="29"/>
      <c r="J40" s="45">
        <f t="shared" ref="J40:J42" si="25">sum(E40:I40)</f>
        <v>427</v>
      </c>
      <c r="K40" s="15">
        <f t="shared" ref="K40:K56" si="26">J40/D40</f>
        <v>0.4841269841</v>
      </c>
      <c r="L40" s="16">
        <f t="shared" ref="L40:L45" si="27">J40/O40*N40</f>
        <v>626.2666667</v>
      </c>
      <c r="M40" s="59">
        <f t="shared" ref="M40:M54" si="28">L40/D40</f>
        <v>0.7100529101</v>
      </c>
      <c r="N40" s="62">
        <v>22.0</v>
      </c>
      <c r="O40" s="63">
        <v>15.0</v>
      </c>
      <c r="P40" s="20" t="s">
        <v>237</v>
      </c>
    </row>
    <row r="41">
      <c r="A41" s="10">
        <v>15.0</v>
      </c>
      <c r="B41" s="10" t="s">
        <v>29</v>
      </c>
      <c r="C41" s="10" t="s">
        <v>110</v>
      </c>
      <c r="D41" s="12">
        <v>1.185E7</v>
      </c>
      <c r="E41" s="19">
        <v>450000.0</v>
      </c>
      <c r="F41" s="12">
        <v>1633000.0</v>
      </c>
      <c r="G41" s="19">
        <v>1069000.0</v>
      </c>
      <c r="H41" s="19"/>
      <c r="I41" s="19"/>
      <c r="J41" s="30">
        <f t="shared" si="25"/>
        <v>3152000</v>
      </c>
      <c r="K41" s="15">
        <f t="shared" si="26"/>
        <v>0.2659915612</v>
      </c>
      <c r="L41" s="16">
        <f t="shared" si="27"/>
        <v>5334153.846</v>
      </c>
      <c r="M41" s="59">
        <f t="shared" si="28"/>
        <v>0.4501395651</v>
      </c>
      <c r="N41" s="62">
        <v>22.0</v>
      </c>
      <c r="O41" s="63">
        <v>13.0</v>
      </c>
      <c r="P41" s="20" t="s">
        <v>237</v>
      </c>
    </row>
    <row r="42">
      <c r="A42" s="10">
        <v>35.0</v>
      </c>
      <c r="B42" s="10" t="s">
        <v>31</v>
      </c>
      <c r="C42" s="10" t="s">
        <v>109</v>
      </c>
      <c r="D42" s="12">
        <f t="shared" ref="D42:I42" si="29">D14</f>
        <v>341823759.1</v>
      </c>
      <c r="E42" s="12">
        <f t="shared" si="29"/>
        <v>69186561</v>
      </c>
      <c r="F42" s="12">
        <f t="shared" si="29"/>
        <v>90833443</v>
      </c>
      <c r="G42" s="12">
        <f t="shared" si="29"/>
        <v>65330493</v>
      </c>
      <c r="H42" s="12" t="str">
        <f t="shared" si="29"/>
        <v/>
      </c>
      <c r="I42" s="12" t="str">
        <f t="shared" si="29"/>
        <v/>
      </c>
      <c r="J42" s="14">
        <f t="shared" si="25"/>
        <v>225350497</v>
      </c>
      <c r="K42" s="15">
        <f t="shared" si="26"/>
        <v>0.6592593141</v>
      </c>
      <c r="L42" s="16">
        <f t="shared" si="27"/>
        <v>330514062.3</v>
      </c>
      <c r="M42" s="59">
        <f t="shared" si="28"/>
        <v>0.9669136607</v>
      </c>
      <c r="N42" s="70">
        <f t="shared" ref="N42:P42" si="30">N14</f>
        <v>22</v>
      </c>
      <c r="O42" s="82">
        <f t="shared" si="30"/>
        <v>15</v>
      </c>
      <c r="P42" s="93" t="str">
        <f t="shared" si="30"/>
        <v>as of September 19, 2025</v>
      </c>
    </row>
    <row r="43">
      <c r="A43" s="10">
        <v>102.0</v>
      </c>
      <c r="B43" s="11" t="s">
        <v>32</v>
      </c>
      <c r="C43" s="10" t="s">
        <v>76</v>
      </c>
      <c r="D43" s="19">
        <f t="shared" ref="D43:H43" si="31">D15</f>
        <v>18547</v>
      </c>
      <c r="E43" s="18">
        <f t="shared" si="31"/>
        <v>3447</v>
      </c>
      <c r="F43" s="18">
        <f t="shared" si="31"/>
        <v>2678</v>
      </c>
      <c r="G43" s="18">
        <f t="shared" si="31"/>
        <v>1259</v>
      </c>
      <c r="H43" s="18">
        <f t="shared" si="31"/>
        <v>3338</v>
      </c>
      <c r="I43" s="18"/>
      <c r="J43" s="45">
        <f t="shared" ref="J43:J54" si="34">SUM(E43:I43)</f>
        <v>10722</v>
      </c>
      <c r="K43" s="15">
        <f t="shared" si="26"/>
        <v>0.5780988839</v>
      </c>
      <c r="L43" s="16">
        <f t="shared" si="27"/>
        <v>14742.75</v>
      </c>
      <c r="M43" s="59">
        <f t="shared" si="28"/>
        <v>0.7948859654</v>
      </c>
      <c r="N43" s="62">
        <f t="shared" ref="N43:P43" si="32">N15</f>
        <v>22</v>
      </c>
      <c r="O43" s="63">
        <f t="shared" si="32"/>
        <v>16</v>
      </c>
      <c r="P43" s="64" t="str">
        <f t="shared" si="32"/>
        <v>as of September 22, 2025</v>
      </c>
    </row>
    <row r="44">
      <c r="A44" s="10">
        <v>5.0</v>
      </c>
      <c r="B44" s="10" t="s">
        <v>154</v>
      </c>
      <c r="C44" s="10" t="s">
        <v>76</v>
      </c>
      <c r="D44" s="19">
        <v>1226.0</v>
      </c>
      <c r="E44" s="18">
        <f t="shared" ref="E44:H44" si="33">E16</f>
        <v>200</v>
      </c>
      <c r="F44" s="18">
        <f t="shared" si="33"/>
        <v>262</v>
      </c>
      <c r="G44" s="18">
        <f t="shared" si="33"/>
        <v>71</v>
      </c>
      <c r="H44" s="18">
        <f t="shared" si="33"/>
        <v>151</v>
      </c>
      <c r="I44" s="18"/>
      <c r="J44" s="45">
        <f t="shared" si="34"/>
        <v>684</v>
      </c>
      <c r="K44" s="15">
        <f t="shared" si="26"/>
        <v>0.5579119086</v>
      </c>
      <c r="L44" s="16">
        <f t="shared" si="27"/>
        <v>940.5</v>
      </c>
      <c r="M44" s="59">
        <f t="shared" si="28"/>
        <v>0.7671288744</v>
      </c>
      <c r="N44" s="18">
        <f t="shared" ref="N44:N50" si="37">N16</f>
        <v>22</v>
      </c>
      <c r="O44" s="63">
        <f t="shared" ref="O44:P44" si="35">O43</f>
        <v>16</v>
      </c>
      <c r="P44" s="64" t="str">
        <f t="shared" si="35"/>
        <v>as of September 22, 2025</v>
      </c>
    </row>
    <row r="45">
      <c r="A45" s="10">
        <v>13.0</v>
      </c>
      <c r="B45" s="10" t="s">
        <v>118</v>
      </c>
      <c r="C45" s="10" t="s">
        <v>76</v>
      </c>
      <c r="D45" s="19">
        <v>1924.0</v>
      </c>
      <c r="E45" s="18">
        <v>271.0</v>
      </c>
      <c r="F45" s="18">
        <f t="shared" ref="F45:H45" si="36">F17</f>
        <v>284</v>
      </c>
      <c r="G45" s="18">
        <f t="shared" si="36"/>
        <v>86</v>
      </c>
      <c r="H45" s="18">
        <f t="shared" si="36"/>
        <v>454</v>
      </c>
      <c r="I45" s="18"/>
      <c r="J45" s="45">
        <f t="shared" si="34"/>
        <v>1095</v>
      </c>
      <c r="K45" s="15">
        <f t="shared" si="26"/>
        <v>0.5691268191</v>
      </c>
      <c r="L45" s="16">
        <f t="shared" si="27"/>
        <v>1505.625</v>
      </c>
      <c r="M45" s="59">
        <f t="shared" si="28"/>
        <v>0.7825493763</v>
      </c>
      <c r="N45" s="18">
        <f t="shared" si="37"/>
        <v>22</v>
      </c>
      <c r="O45" s="63">
        <f t="shared" ref="O45:P45" si="38">O44</f>
        <v>16</v>
      </c>
      <c r="P45" s="64" t="str">
        <f t="shared" si="38"/>
        <v>as of September 22, 2025</v>
      </c>
    </row>
    <row r="46">
      <c r="A46" s="10">
        <v>39.0</v>
      </c>
      <c r="B46" s="11" t="s">
        <v>35</v>
      </c>
      <c r="C46" s="11" t="s">
        <v>19</v>
      </c>
      <c r="D46" s="19">
        <f t="shared" ref="D46:E46" si="39">D18</f>
        <v>496860000</v>
      </c>
      <c r="E46" s="19">
        <f t="shared" si="39"/>
        <v>229289816</v>
      </c>
      <c r="F46" s="19"/>
      <c r="G46" s="19"/>
      <c r="H46" s="19"/>
      <c r="I46" s="46"/>
      <c r="J46" s="30">
        <f t="shared" si="34"/>
        <v>229289816</v>
      </c>
      <c r="K46" s="15">
        <f t="shared" si="26"/>
        <v>0.461477712</v>
      </c>
      <c r="L46" s="16">
        <f t="shared" ref="L46:L49" si="42">L18</f>
        <v>1051888854</v>
      </c>
      <c r="M46" s="59">
        <f t="shared" si="28"/>
        <v>2.117072925</v>
      </c>
      <c r="N46" s="18">
        <f t="shared" si="37"/>
        <v>22</v>
      </c>
      <c r="O46" s="63">
        <f t="shared" ref="O46:P46" si="40">O18</f>
        <v>14</v>
      </c>
      <c r="P46" s="68" t="str">
        <f t="shared" si="40"/>
        <v>as of September 18, 2025</v>
      </c>
    </row>
    <row r="47">
      <c r="A47" s="10">
        <v>11.0</v>
      </c>
      <c r="B47" s="11" t="s">
        <v>37</v>
      </c>
      <c r="C47" s="11" t="s">
        <v>19</v>
      </c>
      <c r="D47" s="19">
        <f t="shared" ref="D47:E47" si="41">D19</f>
        <v>800</v>
      </c>
      <c r="E47" s="19">
        <f t="shared" si="41"/>
        <v>135</v>
      </c>
      <c r="F47" s="19"/>
      <c r="G47" s="19"/>
      <c r="H47" s="19"/>
      <c r="I47" s="46"/>
      <c r="J47" s="30">
        <f t="shared" si="34"/>
        <v>135</v>
      </c>
      <c r="K47" s="15">
        <f t="shared" si="26"/>
        <v>0.16875</v>
      </c>
      <c r="L47" s="16">
        <f t="shared" si="42"/>
        <v>592.4285714</v>
      </c>
      <c r="M47" s="59">
        <f t="shared" si="28"/>
        <v>0.7405357143</v>
      </c>
      <c r="N47" s="18">
        <f t="shared" si="37"/>
        <v>22</v>
      </c>
      <c r="O47" s="18">
        <f t="shared" ref="O47:P47" si="43">O19</f>
        <v>14</v>
      </c>
      <c r="P47" s="68" t="str">
        <f t="shared" si="43"/>
        <v>as of September 18, 2025</v>
      </c>
    </row>
    <row r="48">
      <c r="A48" s="10">
        <v>5.0</v>
      </c>
      <c r="B48" s="11" t="s">
        <v>38</v>
      </c>
      <c r="C48" s="11" t="s">
        <v>19</v>
      </c>
      <c r="D48" s="19">
        <f t="shared" ref="D48:E48" si="44">D20</f>
        <v>5000</v>
      </c>
      <c r="E48" s="19">
        <f t="shared" si="44"/>
        <v>884</v>
      </c>
      <c r="F48" s="19"/>
      <c r="G48" s="19"/>
      <c r="H48" s="19"/>
      <c r="I48" s="46"/>
      <c r="J48" s="30">
        <f t="shared" si="34"/>
        <v>884</v>
      </c>
      <c r="K48" s="15">
        <f t="shared" si="26"/>
        <v>0.1768</v>
      </c>
      <c r="L48" s="16">
        <f t="shared" si="42"/>
        <v>4621.571429</v>
      </c>
      <c r="M48" s="59">
        <f t="shared" si="28"/>
        <v>0.9243142857</v>
      </c>
      <c r="N48" s="18">
        <f t="shared" si="37"/>
        <v>22</v>
      </c>
      <c r="O48" s="18">
        <f t="shared" ref="O48:P48" si="45">O20</f>
        <v>14</v>
      </c>
      <c r="P48" s="68" t="str">
        <f t="shared" si="45"/>
        <v>as of September 18, 2025</v>
      </c>
    </row>
    <row r="49">
      <c r="A49" s="10">
        <v>25.0</v>
      </c>
      <c r="B49" s="10" t="s">
        <v>39</v>
      </c>
      <c r="C49" s="11" t="s">
        <v>19</v>
      </c>
      <c r="D49" s="19">
        <f t="shared" ref="D49:E49" si="46">D21</f>
        <v>4400</v>
      </c>
      <c r="E49" s="19">
        <f t="shared" si="46"/>
        <v>868</v>
      </c>
      <c r="F49" s="19"/>
      <c r="G49" s="19"/>
      <c r="H49" s="19"/>
      <c r="I49" s="46"/>
      <c r="J49" s="30">
        <f t="shared" si="34"/>
        <v>868</v>
      </c>
      <c r="K49" s="15">
        <f t="shared" si="26"/>
        <v>0.1972727273</v>
      </c>
      <c r="L49" s="16">
        <f t="shared" si="42"/>
        <v>4167.428571</v>
      </c>
      <c r="M49" s="59">
        <f t="shared" si="28"/>
        <v>0.9471428571</v>
      </c>
      <c r="N49" s="18">
        <f t="shared" si="37"/>
        <v>22</v>
      </c>
      <c r="O49" s="18">
        <f t="shared" ref="O49:P49" si="47">O21</f>
        <v>14</v>
      </c>
      <c r="P49" s="68" t="str">
        <f t="shared" si="47"/>
        <v>as of September 18, 2025</v>
      </c>
    </row>
    <row r="50">
      <c r="A50" s="10">
        <v>15.0</v>
      </c>
      <c r="B50" s="10" t="s">
        <v>77</v>
      </c>
      <c r="C50" s="11" t="s">
        <v>19</v>
      </c>
      <c r="D50" s="12">
        <v>180.0</v>
      </c>
      <c r="E50" s="19">
        <v>25.0</v>
      </c>
      <c r="F50" s="29">
        <v>49.0</v>
      </c>
      <c r="G50" s="29">
        <v>48.0</v>
      </c>
      <c r="H50" s="29">
        <v>3.0</v>
      </c>
      <c r="I50" s="29"/>
      <c r="J50" s="30">
        <f t="shared" si="34"/>
        <v>125</v>
      </c>
      <c r="K50" s="15">
        <f t="shared" si="26"/>
        <v>0.6944444444</v>
      </c>
      <c r="L50" s="16">
        <f t="shared" ref="L50:L54" si="49">J50/O50*N50</f>
        <v>171.875</v>
      </c>
      <c r="M50" s="59">
        <f t="shared" si="28"/>
        <v>0.9548611111</v>
      </c>
      <c r="N50" s="18">
        <f t="shared" si="37"/>
        <v>22</v>
      </c>
      <c r="O50" s="18">
        <f t="shared" ref="O50:P50" si="48">O22</f>
        <v>16</v>
      </c>
      <c r="P50" s="86" t="str">
        <f t="shared" si="48"/>
        <v>as of September 22, 2025</v>
      </c>
    </row>
    <row r="51">
      <c r="A51" s="10">
        <v>21.0</v>
      </c>
      <c r="B51" s="10" t="s">
        <v>73</v>
      </c>
      <c r="C51" s="11" t="s">
        <v>19</v>
      </c>
      <c r="D51" s="12">
        <v>1663.0</v>
      </c>
      <c r="E51" s="19">
        <v>405.0</v>
      </c>
      <c r="F51" s="29">
        <v>219.0</v>
      </c>
      <c r="G51" s="29">
        <v>305.0</v>
      </c>
      <c r="H51" s="87"/>
      <c r="I51" s="88"/>
      <c r="J51" s="30">
        <f t="shared" si="34"/>
        <v>929</v>
      </c>
      <c r="K51" s="15">
        <f t="shared" si="26"/>
        <v>0.5586289838</v>
      </c>
      <c r="L51" s="16">
        <f t="shared" si="49"/>
        <v>1459.857143</v>
      </c>
      <c r="M51" s="59">
        <f t="shared" si="28"/>
        <v>0.8778455459</v>
      </c>
      <c r="N51" s="18">
        <v>22.0</v>
      </c>
      <c r="O51" s="18">
        <v>14.0</v>
      </c>
      <c r="P51" s="20" t="s">
        <v>238</v>
      </c>
    </row>
    <row r="52">
      <c r="A52" s="10">
        <v>21.0</v>
      </c>
      <c r="B52" s="10" t="s">
        <v>241</v>
      </c>
      <c r="C52" s="11" t="s">
        <v>19</v>
      </c>
      <c r="D52" s="12">
        <v>250.0</v>
      </c>
      <c r="E52" s="12">
        <v>37.0</v>
      </c>
      <c r="F52" s="12">
        <v>21.0</v>
      </c>
      <c r="G52" s="12">
        <v>49.0</v>
      </c>
      <c r="H52" s="94"/>
      <c r="I52" s="94"/>
      <c r="J52" s="14">
        <f t="shared" si="34"/>
        <v>107</v>
      </c>
      <c r="K52" s="15">
        <f t="shared" si="26"/>
        <v>0.428</v>
      </c>
      <c r="L52" s="16">
        <f t="shared" si="49"/>
        <v>168.1428571</v>
      </c>
      <c r="M52" s="59">
        <f t="shared" si="28"/>
        <v>0.6725714286</v>
      </c>
      <c r="N52" s="18">
        <v>22.0</v>
      </c>
      <c r="O52" s="18">
        <v>14.0</v>
      </c>
      <c r="P52" s="20" t="s">
        <v>238</v>
      </c>
    </row>
    <row r="53">
      <c r="A53" s="10">
        <v>5.0</v>
      </c>
      <c r="B53" s="10" t="s">
        <v>134</v>
      </c>
      <c r="C53" s="11" t="s">
        <v>19</v>
      </c>
      <c r="D53" s="12">
        <v>4.25E7</v>
      </c>
      <c r="E53" s="12">
        <v>6818000.0</v>
      </c>
      <c r="F53" s="12">
        <v>1.159999727E7</v>
      </c>
      <c r="G53" s="12">
        <v>8245800.0</v>
      </c>
      <c r="H53" s="94"/>
      <c r="I53" s="94"/>
      <c r="J53" s="14">
        <f t="shared" si="34"/>
        <v>26663797.27</v>
      </c>
      <c r="K53" s="15">
        <f t="shared" si="26"/>
        <v>0.6273834652</v>
      </c>
      <c r="L53" s="95">
        <f t="shared" si="49"/>
        <v>41900252.85</v>
      </c>
      <c r="M53" s="59">
        <f t="shared" si="28"/>
        <v>0.9858883024</v>
      </c>
      <c r="N53" s="18">
        <v>22.0</v>
      </c>
      <c r="O53" s="18">
        <v>14.0</v>
      </c>
      <c r="P53" s="20" t="s">
        <v>238</v>
      </c>
    </row>
    <row r="54">
      <c r="A54" s="10">
        <v>1.0</v>
      </c>
      <c r="B54" s="10" t="s">
        <v>43</v>
      </c>
      <c r="C54" s="11" t="s">
        <v>19</v>
      </c>
      <c r="D54" s="12">
        <v>40.0</v>
      </c>
      <c r="E54" s="12">
        <v>11.0</v>
      </c>
      <c r="F54" s="12">
        <v>8.0</v>
      </c>
      <c r="G54" s="12">
        <v>8.0</v>
      </c>
      <c r="H54" s="12">
        <v>3.0</v>
      </c>
      <c r="I54" s="12"/>
      <c r="J54" s="14">
        <f t="shared" si="34"/>
        <v>30</v>
      </c>
      <c r="K54" s="15">
        <f t="shared" si="26"/>
        <v>0.75</v>
      </c>
      <c r="L54" s="16">
        <f t="shared" si="49"/>
        <v>41.25</v>
      </c>
      <c r="M54" s="59">
        <f t="shared" si="28"/>
        <v>1.03125</v>
      </c>
      <c r="N54" s="18">
        <v>22.0</v>
      </c>
      <c r="O54" s="18">
        <f t="shared" ref="O54:P54" si="50">O25</f>
        <v>16</v>
      </c>
      <c r="P54" s="86" t="str">
        <f t="shared" si="50"/>
        <v>as of September 22, 2025</v>
      </c>
    </row>
    <row r="55">
      <c r="A55" s="10">
        <v>45.0</v>
      </c>
      <c r="B55" s="10" t="s">
        <v>44</v>
      </c>
      <c r="C55" s="11" t="s">
        <v>19</v>
      </c>
      <c r="D55" s="21">
        <v>0.85</v>
      </c>
      <c r="E55" s="21">
        <v>0.83</v>
      </c>
      <c r="F55" s="24">
        <v>0.86</v>
      </c>
      <c r="G55" s="24">
        <v>0.86</v>
      </c>
      <c r="H55" s="24">
        <v>0.9145</v>
      </c>
      <c r="I55" s="24"/>
      <c r="J55" s="57">
        <f>AVERAGE(E55:I55)</f>
        <v>0.866125</v>
      </c>
      <c r="K55" s="15">
        <f t="shared" si="26"/>
        <v>1.018970588</v>
      </c>
      <c r="L55" s="15">
        <f t="shared" ref="L55:L56" si="53">K55</f>
        <v>1.018970588</v>
      </c>
      <c r="M55" s="59">
        <f t="shared" ref="M55:M56" si="54">K55</f>
        <v>1.018970588</v>
      </c>
      <c r="N55" s="18">
        <f t="shared" ref="N55:P55" si="51">N26</f>
        <v>30</v>
      </c>
      <c r="O55" s="18">
        <f t="shared" si="51"/>
        <v>22</v>
      </c>
      <c r="P55" s="86" t="str">
        <f t="shared" si="51"/>
        <v>as of September 22, 2025</v>
      </c>
    </row>
    <row r="56">
      <c r="A56" s="10">
        <v>69.0</v>
      </c>
      <c r="B56" s="10" t="s">
        <v>120</v>
      </c>
      <c r="C56" s="10" t="s">
        <v>121</v>
      </c>
      <c r="D56" s="21">
        <f t="shared" ref="D56:J56" si="52">D27</f>
        <v>0.85</v>
      </c>
      <c r="E56" s="23">
        <f t="shared" si="52"/>
        <v>0.7414</v>
      </c>
      <c r="F56" s="23">
        <f t="shared" si="52"/>
        <v>0.7351</v>
      </c>
      <c r="G56" s="23">
        <f t="shared" si="52"/>
        <v>0.8061</v>
      </c>
      <c r="H56" s="23" t="str">
        <f t="shared" si="52"/>
        <v/>
      </c>
      <c r="I56" s="23" t="str">
        <f t="shared" si="52"/>
        <v/>
      </c>
      <c r="J56" s="23">
        <f t="shared" si="52"/>
        <v>0.7608666667</v>
      </c>
      <c r="K56" s="15">
        <f t="shared" si="26"/>
        <v>0.8951372549</v>
      </c>
      <c r="L56" s="15">
        <f t="shared" si="53"/>
        <v>0.8951372549</v>
      </c>
      <c r="M56" s="59">
        <f t="shared" si="54"/>
        <v>0.8951372549</v>
      </c>
      <c r="N56" s="19">
        <f t="shared" ref="N56:P56" si="55">N27</f>
        <v>30</v>
      </c>
      <c r="O56" s="19">
        <f t="shared" si="55"/>
        <v>19</v>
      </c>
      <c r="P56" s="23" t="str">
        <f t="shared" si="55"/>
        <v>as of September 22, 2025</v>
      </c>
    </row>
    <row r="57">
      <c r="A57" s="35"/>
      <c r="B57" s="35"/>
      <c r="C57" s="35"/>
      <c r="D57" s="38"/>
      <c r="E57" s="38"/>
      <c r="F57" s="38"/>
      <c r="G57" s="38"/>
      <c r="H57" s="38"/>
      <c r="I57" s="38"/>
      <c r="J57" s="38"/>
      <c r="K57" s="38"/>
      <c r="L57" s="38"/>
      <c r="M57" s="74"/>
      <c r="N57" s="38"/>
      <c r="O57" s="38"/>
    </row>
    <row r="58">
      <c r="A58" s="35"/>
      <c r="B58" s="35"/>
      <c r="C58" s="35"/>
      <c r="D58" s="38"/>
      <c r="E58" s="38"/>
      <c r="F58" s="36"/>
      <c r="G58" s="38"/>
      <c r="H58" s="38"/>
      <c r="I58" s="38"/>
      <c r="J58" s="55"/>
      <c r="K58" s="56"/>
      <c r="L58" s="38"/>
      <c r="M58" s="38"/>
      <c r="N58" s="38"/>
      <c r="O58" s="38"/>
    </row>
    <row r="59">
      <c r="A59" s="35"/>
      <c r="B59" s="35"/>
      <c r="C59" s="35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</row>
    <row r="60">
      <c r="A60" s="35"/>
      <c r="C60" s="35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</row>
    <row r="61">
      <c r="A61" s="35"/>
      <c r="B61" s="35"/>
      <c r="C61" s="35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</row>
    <row r="62">
      <c r="A62" s="35"/>
      <c r="B62" s="35"/>
      <c r="C62" s="35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</row>
    <row r="63">
      <c r="A63" s="35"/>
      <c r="B63" s="35"/>
      <c r="C63" s="35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</row>
    <row r="64">
      <c r="A64" s="35"/>
      <c r="B64" s="35"/>
      <c r="C64" s="35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</row>
    <row r="65">
      <c r="A65" s="35"/>
      <c r="B65" s="35"/>
      <c r="C65" s="35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</row>
    <row r="66">
      <c r="A66" s="35"/>
      <c r="B66" s="35"/>
      <c r="C66" s="35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</row>
    <row r="67">
      <c r="A67" s="35"/>
      <c r="B67" s="35"/>
      <c r="C67" s="35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</row>
    <row r="68">
      <c r="A68" s="35"/>
      <c r="B68" s="35"/>
      <c r="C68" s="35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</row>
    <row r="69">
      <c r="A69" s="35"/>
      <c r="B69" s="35"/>
      <c r="C69" s="35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</row>
    <row r="70">
      <c r="A70" s="35"/>
      <c r="B70" s="35"/>
      <c r="C70" s="35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</row>
    <row r="71">
      <c r="A71" s="35"/>
      <c r="B71" s="35"/>
      <c r="C71" s="35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</row>
    <row r="72">
      <c r="A72" s="35"/>
      <c r="B72" s="35"/>
      <c r="C72" s="35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</row>
    <row r="73">
      <c r="A73" s="35"/>
      <c r="B73" s="35"/>
      <c r="C73" s="35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</row>
    <row r="74">
      <c r="A74" s="35"/>
      <c r="B74" s="35"/>
      <c r="C74" s="35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</row>
    <row r="75">
      <c r="A75" s="35"/>
      <c r="B75" s="35"/>
      <c r="C75" s="35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</row>
    <row r="76">
      <c r="A76" s="35"/>
      <c r="B76" s="35"/>
      <c r="C76" s="35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</row>
    <row r="77">
      <c r="A77" s="35"/>
      <c r="B77" s="35"/>
      <c r="C77" s="35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</row>
    <row r="78">
      <c r="A78" s="35"/>
      <c r="B78" s="35"/>
      <c r="C78" s="35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</row>
    <row r="79">
      <c r="A79" s="35"/>
      <c r="B79" s="35"/>
      <c r="C79" s="35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</row>
    <row r="80">
      <c r="A80" s="35"/>
      <c r="B80" s="35"/>
      <c r="C80" s="35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</row>
    <row r="81">
      <c r="A81" s="35"/>
      <c r="B81" s="35"/>
      <c r="C81" s="35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</row>
    <row r="82">
      <c r="A82" s="35"/>
      <c r="B82" s="35"/>
      <c r="C82" s="35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</row>
    <row r="83">
      <c r="A83" s="35"/>
      <c r="B83" s="35"/>
      <c r="C83" s="35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</row>
    <row r="84">
      <c r="A84" s="35"/>
      <c r="B84" s="35"/>
      <c r="C84" s="35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</row>
    <row r="85">
      <c r="A85" s="35"/>
      <c r="B85" s="35"/>
      <c r="C85" s="35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</row>
    <row r="86">
      <c r="A86" s="35"/>
      <c r="B86" s="35"/>
      <c r="C86" s="35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</row>
    <row r="87">
      <c r="A87" s="35"/>
      <c r="B87" s="35"/>
      <c r="C87" s="35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</row>
    <row r="88">
      <c r="A88" s="35"/>
      <c r="B88" s="35"/>
      <c r="C88" s="35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</row>
    <row r="89">
      <c r="A89" s="35"/>
      <c r="B89" s="35"/>
      <c r="C89" s="35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</row>
    <row r="90">
      <c r="A90" s="35"/>
      <c r="B90" s="35"/>
      <c r="C90" s="35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</row>
    <row r="91">
      <c r="A91" s="35"/>
      <c r="B91" s="35"/>
      <c r="C91" s="35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</row>
    <row r="92">
      <c r="A92" s="35"/>
      <c r="B92" s="35"/>
      <c r="C92" s="35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</row>
    <row r="93">
      <c r="A93" s="35"/>
      <c r="B93" s="35"/>
      <c r="C93" s="35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</row>
    <row r="94">
      <c r="A94" s="35"/>
      <c r="B94" s="35"/>
      <c r="C94" s="35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</row>
    <row r="95">
      <c r="A95" s="35"/>
      <c r="B95" s="35"/>
      <c r="C95" s="35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</row>
    <row r="96">
      <c r="A96" s="35"/>
      <c r="B96" s="35"/>
      <c r="C96" s="35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</row>
    <row r="97">
      <c r="A97" s="35"/>
      <c r="B97" s="35"/>
      <c r="C97" s="35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</row>
    <row r="98">
      <c r="A98" s="35"/>
      <c r="B98" s="35"/>
      <c r="C98" s="35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</row>
    <row r="99">
      <c r="A99" s="35"/>
      <c r="B99" s="35"/>
      <c r="C99" s="35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</row>
    <row r="100">
      <c r="A100" s="35"/>
      <c r="B100" s="35"/>
      <c r="C100" s="35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</row>
    <row r="101">
      <c r="A101" s="35"/>
      <c r="B101" s="35"/>
      <c r="C101" s="35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</row>
    <row r="102">
      <c r="A102" s="35"/>
      <c r="B102" s="35"/>
      <c r="C102" s="35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</row>
    <row r="103">
      <c r="A103" s="35"/>
      <c r="B103" s="35"/>
      <c r="C103" s="35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</row>
    <row r="104">
      <c r="A104" s="35"/>
      <c r="B104" s="35"/>
      <c r="C104" s="35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</row>
    <row r="105">
      <c r="A105" s="35"/>
      <c r="B105" s="35"/>
      <c r="C105" s="35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</row>
    <row r="106">
      <c r="A106" s="35"/>
      <c r="B106" s="35"/>
      <c r="C106" s="35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</row>
    <row r="107">
      <c r="A107" s="35"/>
      <c r="B107" s="35"/>
      <c r="C107" s="35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</row>
    <row r="108">
      <c r="A108" s="35"/>
      <c r="B108" s="35"/>
      <c r="C108" s="35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</row>
    <row r="109">
      <c r="A109" s="35"/>
      <c r="B109" s="35"/>
      <c r="C109" s="35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</row>
    <row r="110">
      <c r="A110" s="35"/>
      <c r="B110" s="35"/>
      <c r="C110" s="35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</row>
    <row r="111">
      <c r="A111" s="35"/>
      <c r="B111" s="35"/>
      <c r="C111" s="35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</row>
    <row r="112">
      <c r="A112" s="35"/>
      <c r="B112" s="35"/>
      <c r="C112" s="35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</row>
    <row r="113">
      <c r="A113" s="35"/>
      <c r="B113" s="35"/>
      <c r="C113" s="35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</row>
    <row r="114">
      <c r="A114" s="35"/>
      <c r="B114" s="35"/>
      <c r="C114" s="35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</row>
    <row r="115">
      <c r="A115" s="35"/>
      <c r="B115" s="35"/>
      <c r="C115" s="35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</row>
    <row r="116">
      <c r="A116" s="35"/>
      <c r="B116" s="35"/>
      <c r="C116" s="35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</row>
    <row r="117">
      <c r="A117" s="35"/>
      <c r="B117" s="35"/>
      <c r="C117" s="35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</row>
    <row r="118">
      <c r="A118" s="35"/>
      <c r="B118" s="35"/>
      <c r="C118" s="35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</row>
    <row r="119">
      <c r="A119" s="35"/>
      <c r="B119" s="35"/>
      <c r="C119" s="35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</row>
    <row r="120">
      <c r="A120" s="35"/>
      <c r="B120" s="35"/>
      <c r="C120" s="35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</row>
    <row r="121">
      <c r="A121" s="35"/>
      <c r="B121" s="35"/>
      <c r="C121" s="35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</row>
    <row r="122">
      <c r="A122" s="35"/>
      <c r="B122" s="35"/>
      <c r="C122" s="35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</row>
    <row r="123">
      <c r="A123" s="35"/>
      <c r="B123" s="35"/>
      <c r="C123" s="35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</row>
    <row r="124">
      <c r="A124" s="35"/>
      <c r="B124" s="35"/>
      <c r="C124" s="35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</row>
    <row r="125">
      <c r="A125" s="35"/>
      <c r="B125" s="35"/>
      <c r="C125" s="35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</row>
    <row r="126">
      <c r="A126" s="35"/>
      <c r="B126" s="35"/>
      <c r="C126" s="35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</row>
    <row r="127">
      <c r="A127" s="35"/>
      <c r="B127" s="35"/>
      <c r="C127" s="35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</row>
    <row r="128">
      <c r="A128" s="35"/>
      <c r="B128" s="35"/>
      <c r="C128" s="35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</row>
    <row r="129">
      <c r="A129" s="35"/>
      <c r="B129" s="35"/>
      <c r="C129" s="35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</row>
    <row r="130">
      <c r="A130" s="35"/>
      <c r="B130" s="35"/>
      <c r="C130" s="35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</row>
    <row r="131">
      <c r="A131" s="35"/>
      <c r="B131" s="35"/>
      <c r="C131" s="35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</row>
    <row r="132">
      <c r="A132" s="35"/>
      <c r="B132" s="35"/>
      <c r="C132" s="35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</row>
    <row r="133">
      <c r="A133" s="35"/>
      <c r="B133" s="35"/>
      <c r="C133" s="35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</row>
    <row r="134">
      <c r="A134" s="35"/>
      <c r="B134" s="35"/>
      <c r="C134" s="35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</row>
    <row r="135">
      <c r="A135" s="35"/>
      <c r="B135" s="35"/>
      <c r="C135" s="35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</row>
    <row r="136">
      <c r="A136" s="35"/>
      <c r="B136" s="35"/>
      <c r="C136" s="35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</row>
    <row r="137">
      <c r="A137" s="35"/>
      <c r="B137" s="35"/>
      <c r="C137" s="35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</row>
    <row r="138">
      <c r="A138" s="35"/>
      <c r="B138" s="35"/>
      <c r="C138" s="35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</row>
    <row r="139">
      <c r="A139" s="35"/>
      <c r="B139" s="35"/>
      <c r="C139" s="35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</row>
    <row r="140">
      <c r="A140" s="35"/>
      <c r="B140" s="35"/>
      <c r="C140" s="35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</row>
    <row r="141">
      <c r="A141" s="35"/>
      <c r="B141" s="35"/>
      <c r="C141" s="35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</row>
    <row r="142">
      <c r="A142" s="35"/>
      <c r="B142" s="35"/>
      <c r="C142" s="35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</row>
    <row r="143">
      <c r="A143" s="35"/>
      <c r="B143" s="35"/>
      <c r="C143" s="35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</row>
    <row r="144">
      <c r="A144" s="35"/>
      <c r="B144" s="35"/>
      <c r="C144" s="35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</row>
    <row r="145">
      <c r="A145" s="35"/>
      <c r="B145" s="35"/>
      <c r="C145" s="35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</row>
    <row r="146">
      <c r="A146" s="35"/>
      <c r="B146" s="35"/>
      <c r="C146" s="35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</row>
    <row r="147">
      <c r="A147" s="35"/>
      <c r="B147" s="35"/>
      <c r="C147" s="35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</row>
    <row r="148">
      <c r="A148" s="35"/>
      <c r="B148" s="35"/>
      <c r="C148" s="35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</row>
    <row r="149">
      <c r="A149" s="35"/>
      <c r="B149" s="35"/>
      <c r="C149" s="35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</row>
    <row r="150">
      <c r="A150" s="35"/>
      <c r="B150" s="35"/>
      <c r="C150" s="35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</row>
    <row r="151">
      <c r="A151" s="35"/>
      <c r="B151" s="35"/>
      <c r="C151" s="35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</row>
    <row r="152">
      <c r="A152" s="35"/>
      <c r="B152" s="35"/>
      <c r="C152" s="35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</row>
    <row r="153">
      <c r="A153" s="35"/>
      <c r="B153" s="35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</row>
    <row r="154">
      <c r="A154" s="35"/>
      <c r="B154" s="35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</row>
    <row r="155">
      <c r="A155" s="35"/>
      <c r="B155" s="35"/>
      <c r="C155" s="35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</row>
    <row r="156">
      <c r="A156" s="35"/>
      <c r="B156" s="35"/>
      <c r="C156" s="35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</row>
    <row r="157">
      <c r="A157" s="35"/>
      <c r="B157" s="35"/>
      <c r="C157" s="35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</row>
    <row r="158">
      <c r="A158" s="35"/>
      <c r="B158" s="35"/>
      <c r="C158" s="35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</row>
    <row r="159">
      <c r="A159" s="35"/>
      <c r="B159" s="35"/>
      <c r="C159" s="35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</row>
    <row r="160">
      <c r="A160" s="35"/>
      <c r="B160" s="35"/>
      <c r="C160" s="35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</row>
    <row r="161">
      <c r="A161" s="35"/>
      <c r="B161" s="35"/>
      <c r="C161" s="35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</row>
    <row r="162">
      <c r="A162" s="35"/>
      <c r="B162" s="35"/>
      <c r="C162" s="35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</row>
    <row r="163">
      <c r="A163" s="35"/>
      <c r="B163" s="35"/>
      <c r="C163" s="35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</row>
    <row r="164">
      <c r="A164" s="35"/>
      <c r="B164" s="35"/>
      <c r="C164" s="35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</row>
    <row r="165">
      <c r="A165" s="35"/>
      <c r="B165" s="35"/>
      <c r="C165" s="35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</row>
    <row r="166">
      <c r="A166" s="35"/>
      <c r="B166" s="35"/>
      <c r="C166" s="35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</row>
    <row r="167">
      <c r="A167" s="35"/>
      <c r="B167" s="35"/>
      <c r="C167" s="35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</row>
    <row r="168">
      <c r="A168" s="35"/>
      <c r="B168" s="35"/>
      <c r="C168" s="35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</row>
    <row r="169">
      <c r="A169" s="35"/>
      <c r="B169" s="35"/>
      <c r="C169" s="35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</row>
    <row r="170">
      <c r="A170" s="35"/>
      <c r="B170" s="35"/>
      <c r="C170" s="35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</row>
    <row r="171">
      <c r="A171" s="35"/>
      <c r="B171" s="35"/>
      <c r="C171" s="35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</row>
    <row r="172">
      <c r="A172" s="35"/>
      <c r="B172" s="35"/>
      <c r="C172" s="35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</row>
    <row r="173">
      <c r="A173" s="35"/>
      <c r="B173" s="35"/>
      <c r="C173" s="35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</row>
    <row r="174">
      <c r="A174" s="35"/>
      <c r="B174" s="35"/>
      <c r="C174" s="35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</row>
    <row r="175">
      <c r="A175" s="35"/>
      <c r="B175" s="35"/>
      <c r="C175" s="35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</row>
    <row r="176">
      <c r="A176" s="35"/>
      <c r="B176" s="35"/>
      <c r="C176" s="35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</row>
    <row r="177">
      <c r="A177" s="35"/>
      <c r="B177" s="35"/>
      <c r="C177" s="35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</row>
    <row r="178">
      <c r="A178" s="35"/>
      <c r="B178" s="35"/>
      <c r="C178" s="35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</row>
    <row r="179">
      <c r="A179" s="35"/>
      <c r="B179" s="35"/>
      <c r="C179" s="35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</row>
    <row r="180">
      <c r="A180" s="35"/>
      <c r="B180" s="35"/>
      <c r="C180" s="35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</row>
    <row r="181">
      <c r="A181" s="35"/>
      <c r="B181" s="35"/>
      <c r="C181" s="35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</row>
    <row r="182">
      <c r="A182" s="35"/>
      <c r="B182" s="35"/>
      <c r="C182" s="35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</row>
    <row r="183">
      <c r="A183" s="35"/>
      <c r="B183" s="35"/>
      <c r="C183" s="35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</row>
    <row r="184">
      <c r="A184" s="35"/>
      <c r="B184" s="35"/>
      <c r="C184" s="35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</row>
    <row r="185">
      <c r="A185" s="35"/>
      <c r="B185" s="35"/>
      <c r="C185" s="35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</row>
    <row r="186">
      <c r="A186" s="35"/>
      <c r="B186" s="35"/>
      <c r="C186" s="35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</row>
    <row r="187">
      <c r="A187" s="35"/>
      <c r="B187" s="35"/>
      <c r="C187" s="35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</row>
    <row r="188">
      <c r="A188" s="35"/>
      <c r="B188" s="35"/>
      <c r="C188" s="35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</row>
    <row r="189">
      <c r="A189" s="35"/>
      <c r="B189" s="35"/>
      <c r="C189" s="35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</row>
    <row r="190">
      <c r="A190" s="35"/>
      <c r="B190" s="35"/>
      <c r="C190" s="35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</row>
    <row r="191">
      <c r="A191" s="35"/>
      <c r="B191" s="35"/>
      <c r="C191" s="35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</row>
    <row r="192">
      <c r="A192" s="35"/>
      <c r="B192" s="35"/>
      <c r="C192" s="35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</row>
    <row r="193">
      <c r="A193" s="35"/>
      <c r="B193" s="35"/>
      <c r="C193" s="35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</row>
    <row r="194">
      <c r="A194" s="35"/>
      <c r="B194" s="35"/>
      <c r="C194" s="35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</row>
    <row r="195">
      <c r="A195" s="35"/>
      <c r="B195" s="35"/>
      <c r="C195" s="35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</row>
    <row r="196">
      <c r="A196" s="35"/>
      <c r="B196" s="35"/>
      <c r="C196" s="35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</row>
    <row r="197">
      <c r="A197" s="35"/>
      <c r="B197" s="35"/>
      <c r="C197" s="35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</row>
    <row r="198">
      <c r="A198" s="35"/>
      <c r="B198" s="35"/>
      <c r="C198" s="35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</row>
    <row r="199">
      <c r="A199" s="35"/>
      <c r="B199" s="35"/>
      <c r="C199" s="35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</row>
    <row r="200">
      <c r="A200" s="35"/>
      <c r="B200" s="35"/>
      <c r="C200" s="35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</row>
    <row r="201">
      <c r="A201" s="35"/>
      <c r="B201" s="35"/>
      <c r="C201" s="35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</row>
    <row r="202">
      <c r="A202" s="35"/>
      <c r="B202" s="35"/>
      <c r="C202" s="35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</row>
    <row r="203">
      <c r="A203" s="35"/>
      <c r="B203" s="35"/>
      <c r="C203" s="35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</row>
    <row r="204">
      <c r="A204" s="35"/>
      <c r="B204" s="35"/>
      <c r="C204" s="35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</row>
    <row r="205">
      <c r="A205" s="35"/>
      <c r="B205" s="35"/>
      <c r="C205" s="35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</row>
    <row r="206">
      <c r="A206" s="35"/>
      <c r="B206" s="35"/>
      <c r="C206" s="35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</row>
    <row r="207">
      <c r="A207" s="35"/>
      <c r="B207" s="35"/>
      <c r="C207" s="35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</row>
    <row r="208">
      <c r="A208" s="35"/>
      <c r="B208" s="35"/>
      <c r="C208" s="35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</row>
    <row r="209">
      <c r="A209" s="35"/>
      <c r="B209" s="35"/>
      <c r="C209" s="35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</row>
    <row r="210">
      <c r="A210" s="35"/>
      <c r="B210" s="35"/>
      <c r="C210" s="35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</row>
    <row r="211">
      <c r="A211" s="35"/>
      <c r="B211" s="35"/>
      <c r="C211" s="35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</row>
    <row r="212">
      <c r="A212" s="35"/>
      <c r="B212" s="35"/>
      <c r="C212" s="35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</row>
    <row r="213">
      <c r="A213" s="35"/>
      <c r="B213" s="35"/>
      <c r="C213" s="35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</row>
    <row r="214">
      <c r="A214" s="35"/>
      <c r="B214" s="35"/>
      <c r="C214" s="35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</row>
    <row r="215">
      <c r="A215" s="35"/>
      <c r="B215" s="35"/>
      <c r="C215" s="35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</row>
    <row r="216">
      <c r="A216" s="35"/>
      <c r="B216" s="35"/>
      <c r="C216" s="35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</row>
    <row r="217">
      <c r="A217" s="35"/>
      <c r="B217" s="35"/>
      <c r="C217" s="35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</row>
    <row r="218">
      <c r="A218" s="35"/>
      <c r="B218" s="35"/>
      <c r="C218" s="35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</row>
    <row r="219">
      <c r="A219" s="35"/>
      <c r="B219" s="35"/>
      <c r="C219" s="35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</row>
    <row r="220">
      <c r="A220" s="35"/>
      <c r="B220" s="35"/>
      <c r="C220" s="35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</row>
    <row r="221">
      <c r="A221" s="35"/>
      <c r="B221" s="35"/>
      <c r="C221" s="35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</row>
    <row r="222">
      <c r="A222" s="35"/>
      <c r="B222" s="35"/>
      <c r="C222" s="35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</row>
    <row r="223">
      <c r="A223" s="35"/>
      <c r="B223" s="35"/>
      <c r="C223" s="35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</row>
    <row r="224">
      <c r="A224" s="35"/>
      <c r="B224" s="35"/>
      <c r="C224" s="35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</row>
    <row r="225">
      <c r="A225" s="35"/>
      <c r="B225" s="35"/>
      <c r="C225" s="35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</row>
    <row r="226">
      <c r="A226" s="35"/>
      <c r="B226" s="35"/>
      <c r="C226" s="35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</row>
    <row r="227">
      <c r="A227" s="35"/>
      <c r="B227" s="35"/>
      <c r="C227" s="35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</row>
    <row r="228">
      <c r="A228" s="35"/>
      <c r="B228" s="35"/>
      <c r="C228" s="35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</row>
    <row r="229">
      <c r="A229" s="35"/>
      <c r="B229" s="35"/>
      <c r="C229" s="35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</row>
    <row r="230">
      <c r="A230" s="35"/>
      <c r="B230" s="35"/>
      <c r="C230" s="35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</row>
    <row r="231">
      <c r="A231" s="35"/>
      <c r="B231" s="35"/>
      <c r="C231" s="35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</row>
    <row r="232">
      <c r="A232" s="35"/>
      <c r="B232" s="35"/>
      <c r="C232" s="35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</row>
    <row r="233">
      <c r="A233" s="35"/>
      <c r="B233" s="35"/>
      <c r="C233" s="35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</row>
    <row r="234">
      <c r="A234" s="35"/>
      <c r="B234" s="35"/>
      <c r="C234" s="35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</row>
    <row r="235">
      <c r="A235" s="35"/>
      <c r="B235" s="35"/>
      <c r="C235" s="35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</row>
    <row r="236">
      <c r="A236" s="35"/>
      <c r="B236" s="35"/>
      <c r="C236" s="35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</row>
    <row r="237">
      <c r="A237" s="35"/>
      <c r="B237" s="35"/>
      <c r="C237" s="35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</row>
    <row r="238">
      <c r="A238" s="35"/>
      <c r="B238" s="35"/>
      <c r="C238" s="35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</row>
    <row r="239">
      <c r="A239" s="35"/>
      <c r="B239" s="35"/>
      <c r="C239" s="35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</row>
    <row r="240">
      <c r="A240" s="35"/>
      <c r="B240" s="35"/>
      <c r="C240" s="35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</row>
    <row r="241">
      <c r="A241" s="35"/>
      <c r="B241" s="35"/>
      <c r="C241" s="35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</row>
    <row r="242">
      <c r="A242" s="35"/>
      <c r="B242" s="35"/>
      <c r="C242" s="35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</row>
    <row r="243">
      <c r="A243" s="35"/>
      <c r="B243" s="35"/>
      <c r="C243" s="35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</row>
    <row r="244">
      <c r="A244" s="35"/>
      <c r="B244" s="35"/>
      <c r="C244" s="35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</row>
    <row r="245">
      <c r="A245" s="35"/>
      <c r="B245" s="35"/>
      <c r="C245" s="35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</row>
    <row r="246">
      <c r="A246" s="35"/>
      <c r="B246" s="35"/>
      <c r="C246" s="35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</row>
    <row r="247">
      <c r="A247" s="35"/>
      <c r="B247" s="35"/>
      <c r="C247" s="35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</row>
    <row r="248">
      <c r="A248" s="35"/>
      <c r="B248" s="35"/>
      <c r="C248" s="35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</row>
    <row r="249">
      <c r="A249" s="35"/>
      <c r="B249" s="35"/>
      <c r="C249" s="35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</row>
    <row r="250">
      <c r="A250" s="35"/>
      <c r="B250" s="35"/>
      <c r="C250" s="35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</row>
    <row r="251">
      <c r="A251" s="35"/>
      <c r="B251" s="35"/>
      <c r="C251" s="35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</row>
    <row r="252">
      <c r="A252" s="35"/>
      <c r="B252" s="35"/>
      <c r="C252" s="35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</row>
    <row r="253">
      <c r="A253" s="35"/>
      <c r="B253" s="35"/>
      <c r="C253" s="35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</row>
    <row r="254">
      <c r="A254" s="35"/>
      <c r="B254" s="35"/>
      <c r="C254" s="35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</row>
    <row r="255">
      <c r="A255" s="35"/>
      <c r="B255" s="35"/>
      <c r="C255" s="35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</row>
    <row r="256">
      <c r="A256" s="35"/>
      <c r="B256" s="35"/>
      <c r="C256" s="35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</row>
    <row r="257">
      <c r="A257" s="35"/>
      <c r="B257" s="35"/>
      <c r="C257" s="35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</row>
    <row r="258">
      <c r="A258" s="35"/>
      <c r="B258" s="35"/>
      <c r="C258" s="35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</row>
    <row r="259">
      <c r="A259" s="35"/>
      <c r="B259" s="35"/>
      <c r="C259" s="35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</row>
    <row r="260">
      <c r="A260" s="35"/>
      <c r="B260" s="35"/>
      <c r="C260" s="35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</row>
    <row r="261">
      <c r="A261" s="35"/>
      <c r="B261" s="35"/>
      <c r="C261" s="35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</row>
    <row r="262">
      <c r="A262" s="35"/>
      <c r="B262" s="35"/>
      <c r="C262" s="35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</row>
    <row r="263">
      <c r="A263" s="35"/>
      <c r="B263" s="35"/>
      <c r="C263" s="35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</row>
    <row r="264">
      <c r="A264" s="35"/>
      <c r="B264" s="35"/>
      <c r="C264" s="35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</row>
    <row r="265">
      <c r="A265" s="35"/>
      <c r="B265" s="35"/>
      <c r="C265" s="35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</row>
    <row r="266">
      <c r="A266" s="35"/>
      <c r="B266" s="35"/>
      <c r="C266" s="35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</row>
    <row r="267">
      <c r="A267" s="35"/>
      <c r="B267" s="35"/>
      <c r="C267" s="35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</row>
    <row r="268">
      <c r="A268" s="35"/>
      <c r="B268" s="35"/>
      <c r="C268" s="35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</row>
    <row r="269">
      <c r="A269" s="35"/>
      <c r="B269" s="35"/>
      <c r="C269" s="35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</row>
    <row r="270">
      <c r="A270" s="35"/>
      <c r="B270" s="35"/>
      <c r="C270" s="35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</row>
    <row r="271">
      <c r="A271" s="35"/>
      <c r="B271" s="35"/>
      <c r="C271" s="35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</row>
    <row r="272">
      <c r="A272" s="35"/>
      <c r="B272" s="35"/>
      <c r="C272" s="35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</row>
    <row r="273">
      <c r="A273" s="35"/>
      <c r="B273" s="35"/>
      <c r="C273" s="35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</row>
    <row r="274">
      <c r="A274" s="35"/>
      <c r="B274" s="35"/>
      <c r="C274" s="35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</row>
    <row r="275">
      <c r="A275" s="35"/>
      <c r="B275" s="35"/>
      <c r="C275" s="35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</row>
    <row r="276">
      <c r="A276" s="35"/>
      <c r="B276" s="35"/>
      <c r="C276" s="35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</row>
    <row r="277">
      <c r="A277" s="35"/>
      <c r="B277" s="35"/>
      <c r="C277" s="35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</row>
    <row r="278">
      <c r="A278" s="35"/>
      <c r="B278" s="35"/>
      <c r="C278" s="35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</row>
    <row r="279">
      <c r="A279" s="35"/>
      <c r="B279" s="35"/>
      <c r="C279" s="35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</row>
    <row r="280">
      <c r="A280" s="35"/>
      <c r="B280" s="35"/>
      <c r="C280" s="35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</row>
    <row r="281">
      <c r="A281" s="35"/>
      <c r="B281" s="35"/>
      <c r="C281" s="35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</row>
    <row r="282">
      <c r="A282" s="35"/>
      <c r="B282" s="35"/>
      <c r="C282" s="35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</row>
    <row r="283">
      <c r="A283" s="35"/>
      <c r="B283" s="35"/>
      <c r="C283" s="35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</row>
    <row r="284">
      <c r="A284" s="35"/>
      <c r="B284" s="35"/>
      <c r="C284" s="35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</row>
    <row r="285">
      <c r="A285" s="35"/>
      <c r="B285" s="35"/>
      <c r="C285" s="35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</row>
    <row r="286">
      <c r="A286" s="35"/>
      <c r="B286" s="35"/>
      <c r="C286" s="35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</row>
    <row r="287">
      <c r="A287" s="35"/>
      <c r="B287" s="35"/>
      <c r="C287" s="35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</row>
    <row r="288">
      <c r="A288" s="35"/>
      <c r="B288" s="35"/>
      <c r="C288" s="35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</row>
    <row r="289">
      <c r="A289" s="35"/>
      <c r="B289" s="35"/>
      <c r="C289" s="35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</row>
    <row r="290">
      <c r="A290" s="35"/>
      <c r="B290" s="35"/>
      <c r="C290" s="35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</row>
    <row r="291">
      <c r="A291" s="35"/>
      <c r="B291" s="35"/>
      <c r="C291" s="35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</row>
    <row r="292">
      <c r="A292" s="35"/>
      <c r="B292" s="35"/>
      <c r="C292" s="35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</row>
    <row r="293">
      <c r="A293" s="35"/>
      <c r="B293" s="35"/>
      <c r="C293" s="35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</row>
    <row r="294">
      <c r="A294" s="35"/>
      <c r="B294" s="35"/>
      <c r="C294" s="35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</row>
    <row r="295">
      <c r="A295" s="35"/>
      <c r="B295" s="35"/>
      <c r="C295" s="35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</row>
    <row r="296">
      <c r="A296" s="35"/>
      <c r="B296" s="35"/>
      <c r="C296" s="35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</row>
    <row r="297">
      <c r="A297" s="35"/>
      <c r="B297" s="35"/>
      <c r="C297" s="35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</row>
    <row r="298">
      <c r="A298" s="35"/>
      <c r="B298" s="35"/>
      <c r="C298" s="35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</row>
    <row r="299">
      <c r="A299" s="35"/>
      <c r="B299" s="35"/>
      <c r="C299" s="35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</row>
    <row r="300">
      <c r="A300" s="35"/>
      <c r="B300" s="35"/>
      <c r="C300" s="35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</row>
    <row r="301">
      <c r="A301" s="35"/>
      <c r="B301" s="35"/>
      <c r="C301" s="35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</row>
    <row r="302">
      <c r="A302" s="35"/>
      <c r="B302" s="35"/>
      <c r="C302" s="35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</row>
    <row r="303">
      <c r="A303" s="35"/>
      <c r="B303" s="35"/>
      <c r="C303" s="35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</row>
    <row r="304">
      <c r="A304" s="35"/>
      <c r="B304" s="35"/>
      <c r="C304" s="35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</row>
    <row r="305">
      <c r="A305" s="35"/>
      <c r="B305" s="35"/>
      <c r="C305" s="35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</row>
    <row r="306">
      <c r="A306" s="35"/>
      <c r="B306" s="35"/>
      <c r="C306" s="35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</row>
    <row r="307">
      <c r="A307" s="35"/>
      <c r="B307" s="35"/>
      <c r="C307" s="35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</row>
    <row r="308">
      <c r="A308" s="35"/>
      <c r="B308" s="35"/>
      <c r="C308" s="35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</row>
    <row r="309">
      <c r="A309" s="35"/>
      <c r="B309" s="35"/>
      <c r="C309" s="35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</row>
    <row r="310">
      <c r="A310" s="35"/>
      <c r="B310" s="35"/>
      <c r="C310" s="35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</row>
    <row r="311">
      <c r="A311" s="35"/>
      <c r="B311" s="35"/>
      <c r="C311" s="35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</row>
    <row r="312">
      <c r="A312" s="35"/>
      <c r="B312" s="35"/>
      <c r="C312" s="35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</row>
    <row r="313">
      <c r="A313" s="35"/>
      <c r="B313" s="35"/>
      <c r="C313" s="35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</row>
    <row r="314">
      <c r="A314" s="35"/>
      <c r="B314" s="35"/>
      <c r="C314" s="35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</row>
    <row r="315">
      <c r="A315" s="35"/>
      <c r="B315" s="35"/>
      <c r="C315" s="35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</row>
    <row r="316">
      <c r="A316" s="35"/>
      <c r="B316" s="35"/>
      <c r="C316" s="35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</row>
    <row r="317">
      <c r="A317" s="35"/>
      <c r="B317" s="35"/>
      <c r="C317" s="35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</row>
    <row r="318">
      <c r="A318" s="35"/>
      <c r="B318" s="35"/>
      <c r="C318" s="35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</row>
    <row r="319">
      <c r="A319" s="35"/>
      <c r="B319" s="35"/>
      <c r="C319" s="35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</row>
    <row r="320">
      <c r="A320" s="35"/>
      <c r="B320" s="35"/>
      <c r="C320" s="35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</row>
    <row r="321">
      <c r="A321" s="35"/>
      <c r="B321" s="35"/>
      <c r="C321" s="35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</row>
    <row r="322">
      <c r="A322" s="35"/>
      <c r="B322" s="35"/>
      <c r="C322" s="35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</row>
    <row r="323">
      <c r="A323" s="35"/>
      <c r="B323" s="35"/>
      <c r="C323" s="35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</row>
    <row r="324">
      <c r="A324" s="35"/>
      <c r="B324" s="35"/>
      <c r="C324" s="35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</row>
    <row r="325">
      <c r="A325" s="35"/>
      <c r="B325" s="35"/>
      <c r="C325" s="35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</row>
    <row r="326">
      <c r="A326" s="35"/>
      <c r="B326" s="35"/>
      <c r="C326" s="35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</row>
    <row r="327">
      <c r="A327" s="35"/>
      <c r="B327" s="35"/>
      <c r="C327" s="35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</row>
    <row r="328">
      <c r="A328" s="35"/>
      <c r="B328" s="35"/>
      <c r="C328" s="35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</row>
    <row r="329">
      <c r="A329" s="35"/>
      <c r="B329" s="35"/>
      <c r="C329" s="35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</row>
    <row r="330">
      <c r="A330" s="35"/>
      <c r="B330" s="35"/>
      <c r="C330" s="35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</row>
    <row r="331">
      <c r="A331" s="35"/>
      <c r="B331" s="35"/>
      <c r="C331" s="35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</row>
    <row r="332">
      <c r="A332" s="35"/>
      <c r="B332" s="35"/>
      <c r="C332" s="35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</row>
    <row r="333">
      <c r="A333" s="35"/>
      <c r="B333" s="35"/>
      <c r="C333" s="35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</row>
    <row r="334">
      <c r="A334" s="35"/>
      <c r="B334" s="35"/>
      <c r="C334" s="35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</row>
    <row r="335">
      <c r="A335" s="35"/>
      <c r="B335" s="35"/>
      <c r="C335" s="35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</row>
    <row r="336">
      <c r="A336" s="35"/>
      <c r="B336" s="35"/>
      <c r="C336" s="35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</row>
    <row r="337">
      <c r="A337" s="35"/>
      <c r="B337" s="35"/>
      <c r="C337" s="35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</row>
    <row r="338">
      <c r="A338" s="35"/>
      <c r="B338" s="35"/>
      <c r="C338" s="35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</row>
    <row r="339">
      <c r="A339" s="35"/>
      <c r="B339" s="35"/>
      <c r="C339" s="35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</row>
    <row r="340">
      <c r="A340" s="35"/>
      <c r="B340" s="35"/>
      <c r="C340" s="35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</row>
    <row r="341">
      <c r="A341" s="35"/>
      <c r="B341" s="35"/>
      <c r="C341" s="35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</row>
    <row r="342">
      <c r="A342" s="35"/>
      <c r="B342" s="35"/>
      <c r="C342" s="35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</row>
    <row r="343">
      <c r="A343" s="35"/>
      <c r="B343" s="35"/>
      <c r="C343" s="35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</row>
    <row r="344">
      <c r="A344" s="35"/>
      <c r="B344" s="35"/>
      <c r="C344" s="35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</row>
    <row r="345">
      <c r="A345" s="35"/>
      <c r="B345" s="35"/>
      <c r="C345" s="35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</row>
    <row r="346">
      <c r="A346" s="35"/>
      <c r="B346" s="35"/>
      <c r="C346" s="35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</row>
    <row r="347">
      <c r="A347" s="35"/>
      <c r="B347" s="35"/>
      <c r="C347" s="35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</row>
    <row r="348">
      <c r="A348" s="35"/>
      <c r="B348" s="35"/>
      <c r="C348" s="35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</row>
    <row r="349">
      <c r="A349" s="35"/>
      <c r="B349" s="35"/>
      <c r="C349" s="35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</row>
    <row r="350">
      <c r="A350" s="35"/>
      <c r="B350" s="35"/>
      <c r="C350" s="35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</row>
    <row r="351">
      <c r="A351" s="35"/>
      <c r="B351" s="35"/>
      <c r="C351" s="35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</row>
    <row r="352">
      <c r="A352" s="35"/>
      <c r="B352" s="35"/>
      <c r="C352" s="35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</row>
    <row r="353">
      <c r="A353" s="35"/>
      <c r="B353" s="35"/>
      <c r="C353" s="35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</row>
    <row r="354">
      <c r="A354" s="35"/>
      <c r="B354" s="35"/>
      <c r="C354" s="35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</row>
    <row r="355">
      <c r="A355" s="35"/>
      <c r="B355" s="35"/>
      <c r="C355" s="35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</row>
    <row r="356">
      <c r="A356" s="35"/>
      <c r="B356" s="35"/>
      <c r="C356" s="35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</row>
    <row r="357">
      <c r="A357" s="35"/>
      <c r="B357" s="35"/>
      <c r="C357" s="35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</row>
    <row r="358">
      <c r="A358" s="35"/>
      <c r="B358" s="35"/>
      <c r="C358" s="35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</row>
    <row r="359">
      <c r="A359" s="35"/>
      <c r="B359" s="35"/>
      <c r="C359" s="35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</row>
    <row r="360">
      <c r="A360" s="35"/>
      <c r="B360" s="35"/>
      <c r="C360" s="35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</row>
    <row r="361">
      <c r="A361" s="35"/>
      <c r="B361" s="35"/>
      <c r="C361" s="35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</row>
    <row r="362">
      <c r="A362" s="35"/>
      <c r="B362" s="35"/>
      <c r="C362" s="35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</row>
    <row r="363">
      <c r="A363" s="35"/>
      <c r="B363" s="35"/>
      <c r="C363" s="35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</row>
    <row r="364">
      <c r="A364" s="35"/>
      <c r="B364" s="35"/>
      <c r="C364" s="35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</row>
    <row r="365">
      <c r="A365" s="35"/>
      <c r="B365" s="35"/>
      <c r="C365" s="35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</row>
    <row r="366">
      <c r="A366" s="35"/>
      <c r="B366" s="35"/>
      <c r="C366" s="35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</row>
    <row r="367">
      <c r="A367" s="35"/>
      <c r="B367" s="35"/>
      <c r="C367" s="35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</row>
    <row r="368">
      <c r="A368" s="35"/>
      <c r="B368" s="35"/>
      <c r="C368" s="35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</row>
    <row r="369">
      <c r="A369" s="35"/>
      <c r="B369" s="35"/>
      <c r="C369" s="35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</row>
    <row r="370">
      <c r="A370" s="35"/>
      <c r="B370" s="35"/>
      <c r="C370" s="35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</row>
    <row r="371">
      <c r="A371" s="35"/>
      <c r="B371" s="35"/>
      <c r="C371" s="35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</row>
    <row r="372">
      <c r="A372" s="35"/>
      <c r="B372" s="35"/>
      <c r="C372" s="35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</row>
    <row r="373">
      <c r="A373" s="35"/>
      <c r="B373" s="35"/>
      <c r="C373" s="35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</row>
    <row r="374">
      <c r="A374" s="35"/>
      <c r="B374" s="35"/>
      <c r="C374" s="35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</row>
    <row r="375">
      <c r="A375" s="35"/>
      <c r="B375" s="35"/>
      <c r="C375" s="35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</row>
    <row r="376">
      <c r="A376" s="35"/>
      <c r="B376" s="35"/>
      <c r="C376" s="35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</row>
    <row r="377">
      <c r="A377" s="35"/>
      <c r="B377" s="35"/>
      <c r="C377" s="35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</row>
    <row r="378">
      <c r="A378" s="35"/>
      <c r="B378" s="35"/>
      <c r="C378" s="35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</row>
    <row r="379">
      <c r="A379" s="35"/>
      <c r="B379" s="35"/>
      <c r="C379" s="35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</row>
    <row r="380">
      <c r="A380" s="35"/>
      <c r="B380" s="35"/>
      <c r="C380" s="35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</row>
    <row r="381">
      <c r="A381" s="35"/>
      <c r="B381" s="35"/>
      <c r="C381" s="35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</row>
    <row r="382">
      <c r="A382" s="35"/>
      <c r="B382" s="35"/>
      <c r="C382" s="35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</row>
    <row r="383">
      <c r="A383" s="35"/>
      <c r="B383" s="35"/>
      <c r="C383" s="35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</row>
    <row r="384">
      <c r="A384" s="35"/>
      <c r="B384" s="35"/>
      <c r="C384" s="35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</row>
    <row r="385">
      <c r="A385" s="35"/>
      <c r="B385" s="35"/>
      <c r="C385" s="35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</row>
    <row r="386">
      <c r="A386" s="35"/>
      <c r="B386" s="35"/>
      <c r="C386" s="35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</row>
    <row r="387">
      <c r="A387" s="35"/>
      <c r="B387" s="35"/>
      <c r="C387" s="35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</row>
    <row r="388">
      <c r="A388" s="35"/>
      <c r="B388" s="35"/>
      <c r="C388" s="35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</row>
    <row r="389">
      <c r="A389" s="35"/>
      <c r="B389" s="35"/>
      <c r="C389" s="35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</row>
    <row r="390">
      <c r="A390" s="35"/>
      <c r="B390" s="35"/>
      <c r="C390" s="35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</row>
    <row r="391">
      <c r="A391" s="35"/>
      <c r="B391" s="35"/>
      <c r="C391" s="35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</row>
    <row r="392">
      <c r="A392" s="35"/>
      <c r="B392" s="35"/>
      <c r="C392" s="35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</row>
    <row r="393">
      <c r="A393" s="35"/>
      <c r="B393" s="35"/>
      <c r="C393" s="35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</row>
    <row r="394">
      <c r="A394" s="35"/>
      <c r="B394" s="35"/>
      <c r="C394" s="35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</row>
    <row r="395">
      <c r="A395" s="35"/>
      <c r="B395" s="35"/>
      <c r="C395" s="35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</row>
    <row r="396">
      <c r="A396" s="35"/>
      <c r="B396" s="35"/>
      <c r="C396" s="35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</row>
    <row r="397">
      <c r="A397" s="35"/>
      <c r="B397" s="35"/>
      <c r="C397" s="35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</row>
    <row r="398">
      <c r="A398" s="35"/>
      <c r="B398" s="35"/>
      <c r="C398" s="35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</row>
    <row r="399">
      <c r="A399" s="35"/>
      <c r="B399" s="35"/>
      <c r="C399" s="35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</row>
    <row r="400">
      <c r="A400" s="35"/>
      <c r="B400" s="35"/>
      <c r="C400" s="35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</row>
    <row r="401">
      <c r="A401" s="35"/>
      <c r="B401" s="35"/>
      <c r="C401" s="35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</row>
    <row r="402">
      <c r="A402" s="35"/>
      <c r="B402" s="35"/>
      <c r="C402" s="35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</row>
    <row r="403">
      <c r="A403" s="35"/>
      <c r="B403" s="35"/>
      <c r="C403" s="35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</row>
    <row r="404">
      <c r="A404" s="35"/>
      <c r="B404" s="35"/>
      <c r="C404" s="35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</row>
    <row r="405">
      <c r="A405" s="35"/>
      <c r="B405" s="35"/>
      <c r="C405" s="35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</row>
    <row r="406">
      <c r="A406" s="35"/>
      <c r="B406" s="35"/>
      <c r="C406" s="35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</row>
    <row r="407">
      <c r="A407" s="35"/>
      <c r="B407" s="35"/>
      <c r="C407" s="35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</row>
    <row r="408">
      <c r="A408" s="35"/>
      <c r="B408" s="35"/>
      <c r="C408" s="35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</row>
    <row r="409">
      <c r="A409" s="35"/>
      <c r="B409" s="35"/>
      <c r="C409" s="35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</row>
    <row r="410">
      <c r="A410" s="35"/>
      <c r="B410" s="35"/>
      <c r="C410" s="35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</row>
    <row r="411">
      <c r="A411" s="35"/>
      <c r="B411" s="35"/>
      <c r="C411" s="35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</row>
    <row r="412">
      <c r="A412" s="35"/>
      <c r="B412" s="35"/>
      <c r="C412" s="35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</row>
    <row r="413">
      <c r="A413" s="35"/>
      <c r="B413" s="35"/>
      <c r="C413" s="35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</row>
    <row r="414">
      <c r="A414" s="35"/>
      <c r="B414" s="35"/>
      <c r="C414" s="35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</row>
    <row r="415">
      <c r="A415" s="35"/>
      <c r="B415" s="35"/>
      <c r="C415" s="35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</row>
    <row r="416">
      <c r="A416" s="35"/>
      <c r="B416" s="35"/>
      <c r="C416" s="35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</row>
    <row r="417">
      <c r="A417" s="35"/>
      <c r="B417" s="35"/>
      <c r="C417" s="35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</row>
    <row r="418">
      <c r="A418" s="35"/>
      <c r="B418" s="35"/>
      <c r="C418" s="35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</row>
    <row r="419">
      <c r="A419" s="35"/>
      <c r="B419" s="35"/>
      <c r="C419" s="35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</row>
    <row r="420">
      <c r="A420" s="35"/>
      <c r="B420" s="35"/>
      <c r="C420" s="35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</row>
    <row r="421">
      <c r="A421" s="35"/>
      <c r="B421" s="35"/>
      <c r="C421" s="35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</row>
    <row r="422">
      <c r="A422" s="35"/>
      <c r="B422" s="35"/>
      <c r="C422" s="35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</row>
    <row r="423">
      <c r="A423" s="35"/>
      <c r="B423" s="35"/>
      <c r="C423" s="35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</row>
    <row r="424">
      <c r="A424" s="35"/>
      <c r="B424" s="35"/>
      <c r="C424" s="35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</row>
    <row r="425">
      <c r="A425" s="35"/>
      <c r="B425" s="35"/>
      <c r="C425" s="35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</row>
    <row r="426">
      <c r="A426" s="35"/>
      <c r="B426" s="35"/>
      <c r="C426" s="35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</row>
    <row r="427">
      <c r="A427" s="35"/>
      <c r="B427" s="35"/>
      <c r="C427" s="35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</row>
    <row r="428">
      <c r="A428" s="35"/>
      <c r="B428" s="35"/>
      <c r="C428" s="35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</row>
    <row r="429">
      <c r="A429" s="35"/>
      <c r="B429" s="35"/>
      <c r="C429" s="35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</row>
    <row r="430">
      <c r="A430" s="35"/>
      <c r="B430" s="35"/>
      <c r="C430" s="35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</row>
    <row r="431">
      <c r="A431" s="35"/>
      <c r="B431" s="35"/>
      <c r="C431" s="35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</row>
    <row r="432">
      <c r="A432" s="35"/>
      <c r="B432" s="35"/>
      <c r="C432" s="35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</row>
    <row r="433">
      <c r="A433" s="35"/>
      <c r="B433" s="35"/>
      <c r="C433" s="35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</row>
    <row r="434">
      <c r="A434" s="35"/>
      <c r="B434" s="35"/>
      <c r="C434" s="35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</row>
    <row r="435">
      <c r="A435" s="35"/>
      <c r="B435" s="35"/>
      <c r="C435" s="35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</row>
    <row r="436">
      <c r="A436" s="35"/>
      <c r="B436" s="35"/>
      <c r="C436" s="35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</row>
    <row r="437">
      <c r="A437" s="35"/>
      <c r="B437" s="35"/>
      <c r="C437" s="35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</row>
    <row r="438">
      <c r="A438" s="35"/>
      <c r="B438" s="35"/>
      <c r="C438" s="35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</row>
    <row r="439">
      <c r="A439" s="35"/>
      <c r="B439" s="35"/>
      <c r="C439" s="35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</row>
    <row r="440">
      <c r="A440" s="35"/>
      <c r="B440" s="35"/>
      <c r="C440" s="35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</row>
    <row r="441">
      <c r="A441" s="35"/>
      <c r="B441" s="35"/>
      <c r="C441" s="35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</row>
    <row r="442">
      <c r="A442" s="35"/>
      <c r="B442" s="35"/>
      <c r="C442" s="35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</row>
    <row r="443">
      <c r="A443" s="35"/>
      <c r="B443" s="35"/>
      <c r="C443" s="35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</row>
    <row r="444">
      <c r="A444" s="35"/>
      <c r="B444" s="35"/>
      <c r="C444" s="35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</row>
    <row r="445">
      <c r="A445" s="35"/>
      <c r="B445" s="35"/>
      <c r="C445" s="35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</row>
    <row r="446">
      <c r="A446" s="35"/>
      <c r="B446" s="35"/>
      <c r="C446" s="35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</row>
    <row r="447">
      <c r="A447" s="35"/>
      <c r="B447" s="35"/>
      <c r="C447" s="35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</row>
    <row r="448">
      <c r="A448" s="35"/>
      <c r="B448" s="35"/>
      <c r="C448" s="35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</row>
    <row r="449">
      <c r="A449" s="35"/>
      <c r="B449" s="35"/>
      <c r="C449" s="35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</row>
    <row r="450">
      <c r="A450" s="35"/>
      <c r="B450" s="35"/>
      <c r="C450" s="35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</row>
    <row r="451">
      <c r="A451" s="35"/>
      <c r="B451" s="35"/>
      <c r="C451" s="35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</row>
    <row r="452">
      <c r="A452" s="35"/>
      <c r="B452" s="35"/>
      <c r="C452" s="35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</row>
    <row r="453">
      <c r="A453" s="35"/>
      <c r="B453" s="35"/>
      <c r="C453" s="35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</row>
    <row r="454">
      <c r="A454" s="35"/>
      <c r="B454" s="35"/>
      <c r="C454" s="35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</row>
    <row r="455">
      <c r="A455" s="35"/>
      <c r="B455" s="35"/>
      <c r="C455" s="35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</row>
    <row r="456">
      <c r="A456" s="35"/>
      <c r="B456" s="35"/>
      <c r="C456" s="35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</row>
    <row r="457">
      <c r="A457" s="35"/>
      <c r="B457" s="35"/>
      <c r="C457" s="35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</row>
    <row r="458">
      <c r="A458" s="35"/>
      <c r="B458" s="35"/>
      <c r="C458" s="35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</row>
    <row r="459">
      <c r="A459" s="35"/>
      <c r="B459" s="35"/>
      <c r="C459" s="35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</row>
    <row r="460">
      <c r="A460" s="35"/>
      <c r="B460" s="35"/>
      <c r="C460" s="35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</row>
    <row r="461">
      <c r="A461" s="35"/>
      <c r="B461" s="35"/>
      <c r="C461" s="35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</row>
    <row r="462">
      <c r="A462" s="35"/>
      <c r="B462" s="35"/>
      <c r="C462" s="35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</row>
    <row r="463">
      <c r="A463" s="35"/>
      <c r="B463" s="35"/>
      <c r="C463" s="35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</row>
    <row r="464">
      <c r="A464" s="35"/>
      <c r="B464" s="35"/>
      <c r="C464" s="35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</row>
    <row r="465">
      <c r="A465" s="35"/>
      <c r="B465" s="35"/>
      <c r="C465" s="35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</row>
    <row r="466">
      <c r="A466" s="35"/>
      <c r="B466" s="35"/>
      <c r="C466" s="35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</row>
    <row r="467">
      <c r="A467" s="35"/>
      <c r="B467" s="35"/>
      <c r="C467" s="35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</row>
    <row r="468">
      <c r="A468" s="35"/>
      <c r="B468" s="35"/>
      <c r="C468" s="35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</row>
    <row r="469">
      <c r="A469" s="35"/>
      <c r="B469" s="35"/>
      <c r="C469" s="35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</row>
    <row r="470">
      <c r="A470" s="35"/>
      <c r="B470" s="35"/>
      <c r="C470" s="35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</row>
    <row r="471">
      <c r="A471" s="35"/>
      <c r="B471" s="35"/>
      <c r="C471" s="35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</row>
    <row r="472">
      <c r="A472" s="35"/>
      <c r="B472" s="35"/>
      <c r="C472" s="35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</row>
    <row r="473">
      <c r="A473" s="35"/>
      <c r="B473" s="35"/>
      <c r="C473" s="35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</row>
    <row r="474">
      <c r="A474" s="35"/>
      <c r="B474" s="35"/>
      <c r="C474" s="35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</row>
    <row r="475">
      <c r="A475" s="35"/>
      <c r="B475" s="35"/>
      <c r="C475" s="35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</row>
    <row r="476">
      <c r="A476" s="35"/>
      <c r="B476" s="35"/>
      <c r="C476" s="35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</row>
    <row r="477">
      <c r="A477" s="35"/>
      <c r="B477" s="35"/>
      <c r="C477" s="35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</row>
    <row r="478">
      <c r="A478" s="35"/>
      <c r="B478" s="35"/>
      <c r="C478" s="35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</row>
    <row r="479">
      <c r="A479" s="35"/>
      <c r="B479" s="35"/>
      <c r="C479" s="35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</row>
    <row r="480">
      <c r="A480" s="35"/>
      <c r="B480" s="35"/>
      <c r="C480" s="35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</row>
    <row r="481">
      <c r="A481" s="35"/>
      <c r="B481" s="35"/>
      <c r="C481" s="35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</row>
    <row r="482">
      <c r="A482" s="35"/>
      <c r="B482" s="35"/>
      <c r="C482" s="35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</row>
    <row r="483">
      <c r="A483" s="35"/>
      <c r="B483" s="35"/>
      <c r="C483" s="35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</row>
    <row r="484">
      <c r="A484" s="35"/>
      <c r="B484" s="35"/>
      <c r="C484" s="35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</row>
    <row r="485">
      <c r="A485" s="35"/>
      <c r="B485" s="35"/>
      <c r="C485" s="35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</row>
    <row r="486">
      <c r="A486" s="35"/>
      <c r="B486" s="35"/>
      <c r="C486" s="35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</row>
    <row r="487">
      <c r="A487" s="35"/>
      <c r="B487" s="35"/>
      <c r="C487" s="35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</row>
    <row r="488">
      <c r="A488" s="35"/>
      <c r="B488" s="35"/>
      <c r="C488" s="35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</row>
    <row r="489">
      <c r="A489" s="35"/>
      <c r="B489" s="35"/>
      <c r="C489" s="35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</row>
    <row r="490">
      <c r="A490" s="35"/>
      <c r="B490" s="35"/>
      <c r="C490" s="35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</row>
    <row r="491">
      <c r="A491" s="35"/>
      <c r="B491" s="35"/>
      <c r="C491" s="35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</row>
    <row r="492">
      <c r="A492" s="35"/>
      <c r="B492" s="35"/>
      <c r="C492" s="35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</row>
    <row r="493">
      <c r="A493" s="35"/>
      <c r="B493" s="35"/>
      <c r="C493" s="35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</row>
    <row r="494">
      <c r="A494" s="35"/>
      <c r="B494" s="35"/>
      <c r="C494" s="35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</row>
    <row r="495">
      <c r="A495" s="35"/>
      <c r="B495" s="35"/>
      <c r="C495" s="35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</row>
    <row r="496">
      <c r="A496" s="35"/>
      <c r="B496" s="35"/>
      <c r="C496" s="35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</row>
    <row r="497">
      <c r="A497" s="35"/>
      <c r="B497" s="35"/>
      <c r="C497" s="35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</row>
    <row r="498">
      <c r="A498" s="35"/>
      <c r="B498" s="35"/>
      <c r="C498" s="35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</row>
    <row r="499">
      <c r="A499" s="35"/>
      <c r="B499" s="35"/>
      <c r="C499" s="35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</row>
    <row r="500">
      <c r="A500" s="35"/>
      <c r="B500" s="35"/>
      <c r="C500" s="35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</row>
    <row r="501">
      <c r="A501" s="35"/>
      <c r="B501" s="35"/>
      <c r="C501" s="35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</row>
    <row r="502">
      <c r="A502" s="35"/>
      <c r="B502" s="35"/>
      <c r="C502" s="35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</row>
    <row r="503">
      <c r="A503" s="35"/>
      <c r="B503" s="35"/>
      <c r="C503" s="35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</row>
    <row r="504">
      <c r="A504" s="35"/>
      <c r="B504" s="35"/>
      <c r="C504" s="35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</row>
    <row r="505">
      <c r="A505" s="35"/>
      <c r="B505" s="35"/>
      <c r="C505" s="35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</row>
    <row r="506">
      <c r="A506" s="35"/>
      <c r="B506" s="35"/>
      <c r="C506" s="35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</row>
    <row r="507">
      <c r="A507" s="35"/>
      <c r="B507" s="35"/>
      <c r="C507" s="35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</row>
    <row r="508">
      <c r="A508" s="35"/>
      <c r="B508" s="35"/>
      <c r="C508" s="35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</row>
    <row r="509">
      <c r="A509" s="35"/>
      <c r="B509" s="35"/>
      <c r="C509" s="35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</row>
    <row r="510">
      <c r="A510" s="35"/>
      <c r="B510" s="35"/>
      <c r="C510" s="35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</row>
    <row r="511">
      <c r="A511" s="35"/>
      <c r="B511" s="35"/>
      <c r="C511" s="35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</row>
    <row r="512">
      <c r="A512" s="35"/>
      <c r="B512" s="35"/>
      <c r="C512" s="35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</row>
    <row r="513">
      <c r="A513" s="35"/>
      <c r="B513" s="35"/>
      <c r="C513" s="35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</row>
    <row r="514">
      <c r="A514" s="35"/>
      <c r="B514" s="35"/>
      <c r="C514" s="35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</row>
    <row r="515">
      <c r="A515" s="35"/>
      <c r="B515" s="35"/>
      <c r="C515" s="35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</row>
    <row r="516">
      <c r="A516" s="35"/>
      <c r="B516" s="35"/>
      <c r="C516" s="35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</row>
    <row r="517">
      <c r="A517" s="35"/>
      <c r="B517" s="35"/>
      <c r="C517" s="35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</row>
    <row r="518">
      <c r="A518" s="35"/>
      <c r="B518" s="35"/>
      <c r="C518" s="35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</row>
    <row r="519">
      <c r="A519" s="35"/>
      <c r="B519" s="35"/>
      <c r="C519" s="35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</row>
    <row r="520">
      <c r="A520" s="35"/>
      <c r="B520" s="35"/>
      <c r="C520" s="35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</row>
    <row r="521">
      <c r="A521" s="35"/>
      <c r="B521" s="35"/>
      <c r="C521" s="35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</row>
    <row r="522">
      <c r="A522" s="35"/>
      <c r="B522" s="35"/>
      <c r="C522" s="35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</row>
    <row r="523">
      <c r="A523" s="35"/>
      <c r="B523" s="35"/>
      <c r="C523" s="35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</row>
    <row r="524">
      <c r="A524" s="35"/>
      <c r="B524" s="35"/>
      <c r="C524" s="35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</row>
    <row r="525">
      <c r="A525" s="35"/>
      <c r="B525" s="35"/>
      <c r="C525" s="35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</row>
    <row r="526">
      <c r="A526" s="35"/>
      <c r="B526" s="35"/>
      <c r="C526" s="35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</row>
    <row r="527">
      <c r="A527" s="35"/>
      <c r="B527" s="35"/>
      <c r="C527" s="35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</row>
    <row r="528">
      <c r="A528" s="35"/>
      <c r="B528" s="35"/>
      <c r="C528" s="35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</row>
    <row r="529">
      <c r="A529" s="35"/>
      <c r="B529" s="35"/>
      <c r="C529" s="35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</row>
    <row r="530">
      <c r="A530" s="35"/>
      <c r="B530" s="35"/>
      <c r="C530" s="35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</row>
    <row r="531">
      <c r="A531" s="35"/>
      <c r="B531" s="35"/>
      <c r="C531" s="35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</row>
    <row r="532">
      <c r="A532" s="35"/>
      <c r="B532" s="35"/>
      <c r="C532" s="35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</row>
    <row r="533">
      <c r="A533" s="35"/>
      <c r="B533" s="35"/>
      <c r="C533" s="35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</row>
    <row r="534">
      <c r="A534" s="35"/>
      <c r="B534" s="35"/>
      <c r="C534" s="35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</row>
    <row r="535">
      <c r="A535" s="35"/>
      <c r="B535" s="35"/>
      <c r="C535" s="35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</row>
    <row r="536">
      <c r="A536" s="35"/>
      <c r="B536" s="35"/>
      <c r="C536" s="35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</row>
    <row r="537">
      <c r="A537" s="35"/>
      <c r="B537" s="35"/>
      <c r="C537" s="35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</row>
    <row r="538">
      <c r="A538" s="35"/>
      <c r="B538" s="35"/>
      <c r="C538" s="35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</row>
    <row r="539">
      <c r="A539" s="35"/>
      <c r="B539" s="35"/>
      <c r="C539" s="35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</row>
    <row r="540">
      <c r="A540" s="35"/>
      <c r="B540" s="35"/>
      <c r="C540" s="35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</row>
    <row r="541">
      <c r="A541" s="35"/>
      <c r="B541" s="35"/>
      <c r="C541" s="35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</row>
    <row r="542">
      <c r="A542" s="35"/>
      <c r="B542" s="35"/>
      <c r="C542" s="35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</row>
    <row r="543">
      <c r="A543" s="35"/>
      <c r="B543" s="35"/>
      <c r="C543" s="35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</row>
    <row r="544">
      <c r="A544" s="35"/>
      <c r="B544" s="35"/>
      <c r="C544" s="35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</row>
    <row r="545">
      <c r="A545" s="35"/>
      <c r="B545" s="35"/>
      <c r="C545" s="35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</row>
    <row r="546">
      <c r="A546" s="35"/>
      <c r="B546" s="35"/>
      <c r="C546" s="35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</row>
    <row r="547">
      <c r="A547" s="35"/>
      <c r="B547" s="35"/>
      <c r="C547" s="35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</row>
    <row r="548">
      <c r="A548" s="35"/>
      <c r="B548" s="35"/>
      <c r="C548" s="35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</row>
    <row r="549">
      <c r="A549" s="35"/>
      <c r="B549" s="35"/>
      <c r="C549" s="35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</row>
    <row r="550">
      <c r="A550" s="35"/>
      <c r="B550" s="35"/>
      <c r="C550" s="35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</row>
    <row r="551">
      <c r="A551" s="35"/>
      <c r="B551" s="35"/>
      <c r="C551" s="35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</row>
    <row r="552">
      <c r="A552" s="35"/>
      <c r="B552" s="35"/>
      <c r="C552" s="35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</row>
    <row r="553">
      <c r="A553" s="35"/>
      <c r="B553" s="35"/>
      <c r="C553" s="35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</row>
    <row r="554">
      <c r="A554" s="35"/>
      <c r="B554" s="35"/>
      <c r="C554" s="35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</row>
    <row r="555">
      <c r="A555" s="35"/>
      <c r="B555" s="35"/>
      <c r="C555" s="35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</row>
    <row r="556">
      <c r="A556" s="35"/>
      <c r="B556" s="35"/>
      <c r="C556" s="35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</row>
    <row r="557">
      <c r="A557" s="35"/>
      <c r="B557" s="35"/>
      <c r="C557" s="35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</row>
    <row r="558">
      <c r="A558" s="35"/>
      <c r="B558" s="35"/>
      <c r="C558" s="35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</row>
    <row r="559">
      <c r="A559" s="35"/>
      <c r="B559" s="35"/>
      <c r="C559" s="35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</row>
    <row r="560">
      <c r="A560" s="35"/>
      <c r="B560" s="35"/>
      <c r="C560" s="35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</row>
    <row r="561">
      <c r="A561" s="35"/>
      <c r="B561" s="35"/>
      <c r="C561" s="35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</row>
    <row r="562">
      <c r="A562" s="35"/>
      <c r="B562" s="35"/>
      <c r="C562" s="35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</row>
    <row r="563">
      <c r="A563" s="35"/>
      <c r="B563" s="35"/>
      <c r="C563" s="35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</row>
    <row r="564">
      <c r="A564" s="35"/>
      <c r="B564" s="35"/>
      <c r="C564" s="35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</row>
    <row r="565">
      <c r="A565" s="35"/>
      <c r="B565" s="35"/>
      <c r="C565" s="35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</row>
    <row r="566">
      <c r="A566" s="35"/>
      <c r="B566" s="35"/>
      <c r="C566" s="35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</row>
    <row r="567">
      <c r="A567" s="35"/>
      <c r="B567" s="35"/>
      <c r="C567" s="35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</row>
    <row r="568">
      <c r="A568" s="35"/>
      <c r="B568" s="35"/>
      <c r="C568" s="35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</row>
    <row r="569">
      <c r="A569" s="35"/>
      <c r="B569" s="35"/>
      <c r="C569" s="35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</row>
    <row r="570">
      <c r="A570" s="35"/>
      <c r="B570" s="35"/>
      <c r="C570" s="35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</row>
    <row r="571">
      <c r="A571" s="35"/>
      <c r="B571" s="35"/>
      <c r="C571" s="35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</row>
    <row r="572">
      <c r="A572" s="35"/>
      <c r="B572" s="35"/>
      <c r="C572" s="35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</row>
    <row r="573">
      <c r="A573" s="35"/>
      <c r="B573" s="35"/>
      <c r="C573" s="35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</row>
    <row r="574">
      <c r="A574" s="35"/>
      <c r="B574" s="35"/>
      <c r="C574" s="35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</row>
    <row r="575">
      <c r="A575" s="35"/>
      <c r="B575" s="35"/>
      <c r="C575" s="35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</row>
    <row r="576">
      <c r="A576" s="35"/>
      <c r="B576" s="35"/>
      <c r="C576" s="35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</row>
    <row r="577">
      <c r="A577" s="35"/>
      <c r="B577" s="35"/>
      <c r="C577" s="35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</row>
    <row r="578">
      <c r="A578" s="35"/>
      <c r="B578" s="35"/>
      <c r="C578" s="35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</row>
    <row r="579">
      <c r="A579" s="35"/>
      <c r="B579" s="35"/>
      <c r="C579" s="35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</row>
    <row r="580">
      <c r="A580" s="35"/>
      <c r="B580" s="35"/>
      <c r="C580" s="35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</row>
    <row r="581">
      <c r="A581" s="35"/>
      <c r="B581" s="35"/>
      <c r="C581" s="35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</row>
    <row r="582">
      <c r="A582" s="35"/>
      <c r="B582" s="35"/>
      <c r="C582" s="35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</row>
    <row r="583">
      <c r="A583" s="35"/>
      <c r="B583" s="35"/>
      <c r="C583" s="35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</row>
    <row r="584">
      <c r="A584" s="35"/>
      <c r="B584" s="35"/>
      <c r="C584" s="35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</row>
    <row r="585">
      <c r="A585" s="35"/>
      <c r="B585" s="35"/>
      <c r="C585" s="35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</row>
    <row r="586">
      <c r="A586" s="35"/>
      <c r="B586" s="35"/>
      <c r="C586" s="35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</row>
    <row r="587">
      <c r="A587" s="35"/>
      <c r="B587" s="35"/>
      <c r="C587" s="35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</row>
    <row r="588">
      <c r="A588" s="35"/>
      <c r="B588" s="35"/>
      <c r="C588" s="35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</row>
    <row r="589">
      <c r="A589" s="35"/>
      <c r="B589" s="35"/>
      <c r="C589" s="35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</row>
    <row r="590">
      <c r="A590" s="35"/>
      <c r="B590" s="35"/>
      <c r="C590" s="35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</row>
    <row r="591">
      <c r="A591" s="35"/>
      <c r="B591" s="35"/>
      <c r="C591" s="35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</row>
    <row r="592">
      <c r="A592" s="35"/>
      <c r="B592" s="35"/>
      <c r="C592" s="35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</row>
    <row r="593">
      <c r="A593" s="35"/>
      <c r="B593" s="35"/>
      <c r="C593" s="35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</row>
    <row r="594">
      <c r="A594" s="35"/>
      <c r="B594" s="35"/>
      <c r="C594" s="35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</row>
    <row r="595">
      <c r="A595" s="35"/>
      <c r="B595" s="35"/>
      <c r="C595" s="35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</row>
    <row r="596">
      <c r="A596" s="35"/>
      <c r="B596" s="35"/>
      <c r="C596" s="35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</row>
    <row r="597">
      <c r="A597" s="35"/>
      <c r="B597" s="35"/>
      <c r="C597" s="35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</row>
    <row r="598">
      <c r="A598" s="35"/>
      <c r="B598" s="35"/>
      <c r="C598" s="35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</row>
    <row r="599">
      <c r="A599" s="35"/>
      <c r="B599" s="35"/>
      <c r="C599" s="35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</row>
    <row r="600">
      <c r="A600" s="35"/>
      <c r="B600" s="35"/>
      <c r="C600" s="35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</row>
    <row r="601">
      <c r="A601" s="35"/>
      <c r="B601" s="35"/>
      <c r="C601" s="35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</row>
    <row r="602">
      <c r="A602" s="35"/>
      <c r="B602" s="35"/>
      <c r="C602" s="35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</row>
    <row r="603">
      <c r="A603" s="35"/>
      <c r="B603" s="35"/>
      <c r="C603" s="35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</row>
    <row r="604">
      <c r="A604" s="35"/>
      <c r="B604" s="35"/>
      <c r="C604" s="35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</row>
    <row r="605">
      <c r="A605" s="35"/>
      <c r="B605" s="35"/>
      <c r="C605" s="35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</row>
    <row r="606">
      <c r="A606" s="35"/>
      <c r="B606" s="35"/>
      <c r="C606" s="35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</row>
    <row r="607">
      <c r="A607" s="35"/>
      <c r="B607" s="35"/>
      <c r="C607" s="35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</row>
    <row r="608">
      <c r="A608" s="35"/>
      <c r="B608" s="35"/>
      <c r="C608" s="35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</row>
    <row r="609">
      <c r="A609" s="35"/>
      <c r="B609" s="35"/>
      <c r="C609" s="35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</row>
    <row r="610">
      <c r="A610" s="35"/>
      <c r="B610" s="35"/>
      <c r="C610" s="35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</row>
    <row r="611">
      <c r="A611" s="35"/>
      <c r="B611" s="35"/>
      <c r="C611" s="35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</row>
    <row r="612">
      <c r="A612" s="35"/>
      <c r="B612" s="35"/>
      <c r="C612" s="35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</row>
    <row r="613">
      <c r="A613" s="35"/>
      <c r="B613" s="35"/>
      <c r="C613" s="35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</row>
    <row r="614">
      <c r="A614" s="35"/>
      <c r="B614" s="35"/>
      <c r="C614" s="35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</row>
    <row r="615">
      <c r="A615" s="35"/>
      <c r="B615" s="35"/>
      <c r="C615" s="35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</row>
    <row r="616">
      <c r="A616" s="35"/>
      <c r="B616" s="35"/>
      <c r="C616" s="35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</row>
    <row r="617">
      <c r="A617" s="35"/>
      <c r="B617" s="35"/>
      <c r="C617" s="35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</row>
    <row r="618">
      <c r="A618" s="35"/>
      <c r="B618" s="35"/>
      <c r="C618" s="35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</row>
    <row r="619">
      <c r="A619" s="35"/>
      <c r="B619" s="35"/>
      <c r="C619" s="35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</row>
    <row r="620">
      <c r="A620" s="35"/>
      <c r="B620" s="35"/>
      <c r="C620" s="35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</row>
    <row r="621">
      <c r="A621" s="35"/>
      <c r="B621" s="35"/>
      <c r="C621" s="35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</row>
    <row r="622">
      <c r="A622" s="35"/>
      <c r="B622" s="35"/>
      <c r="C622" s="35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</row>
    <row r="623">
      <c r="A623" s="35"/>
      <c r="B623" s="35"/>
      <c r="C623" s="35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</row>
    <row r="624">
      <c r="A624" s="35"/>
      <c r="B624" s="35"/>
      <c r="C624" s="35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</row>
    <row r="625">
      <c r="A625" s="35"/>
      <c r="B625" s="35"/>
      <c r="C625" s="35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</row>
    <row r="626">
      <c r="A626" s="35"/>
      <c r="B626" s="35"/>
      <c r="C626" s="35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</row>
    <row r="627">
      <c r="A627" s="35"/>
      <c r="B627" s="35"/>
      <c r="C627" s="35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</row>
    <row r="628">
      <c r="A628" s="35"/>
      <c r="B628" s="35"/>
      <c r="C628" s="35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</row>
    <row r="629">
      <c r="A629" s="35"/>
      <c r="B629" s="35"/>
      <c r="C629" s="35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</row>
    <row r="630">
      <c r="A630" s="35"/>
      <c r="B630" s="35"/>
      <c r="C630" s="35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</row>
    <row r="631">
      <c r="A631" s="35"/>
      <c r="B631" s="35"/>
      <c r="C631" s="35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</row>
    <row r="632">
      <c r="A632" s="35"/>
      <c r="B632" s="35"/>
      <c r="C632" s="35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</row>
    <row r="633">
      <c r="A633" s="35"/>
      <c r="B633" s="35"/>
      <c r="C633" s="35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</row>
    <row r="634">
      <c r="A634" s="35"/>
      <c r="B634" s="35"/>
      <c r="C634" s="35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</row>
    <row r="635">
      <c r="A635" s="35"/>
      <c r="B635" s="35"/>
      <c r="C635" s="35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</row>
    <row r="636">
      <c r="A636" s="35"/>
      <c r="B636" s="35"/>
      <c r="C636" s="35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</row>
    <row r="637">
      <c r="A637" s="35"/>
      <c r="B637" s="35"/>
      <c r="C637" s="35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</row>
    <row r="638">
      <c r="A638" s="35"/>
      <c r="B638" s="35"/>
      <c r="C638" s="35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</row>
    <row r="639">
      <c r="A639" s="35"/>
      <c r="B639" s="35"/>
      <c r="C639" s="35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</row>
    <row r="640">
      <c r="A640" s="35"/>
      <c r="B640" s="35"/>
      <c r="C640" s="35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</row>
    <row r="641">
      <c r="A641" s="35"/>
      <c r="B641" s="35"/>
      <c r="C641" s="35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</row>
    <row r="642">
      <c r="A642" s="35"/>
      <c r="B642" s="35"/>
      <c r="C642" s="35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</row>
    <row r="643">
      <c r="A643" s="35"/>
      <c r="B643" s="35"/>
      <c r="C643" s="35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</row>
    <row r="644">
      <c r="A644" s="35"/>
      <c r="B644" s="35"/>
      <c r="C644" s="35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</row>
    <row r="645">
      <c r="A645" s="35"/>
      <c r="B645" s="35"/>
      <c r="C645" s="35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</row>
    <row r="646">
      <c r="A646" s="35"/>
      <c r="B646" s="35"/>
      <c r="C646" s="35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</row>
    <row r="647">
      <c r="A647" s="35"/>
      <c r="B647" s="35"/>
      <c r="C647" s="35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</row>
    <row r="648">
      <c r="A648" s="35"/>
      <c r="B648" s="35"/>
      <c r="C648" s="35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</row>
    <row r="649">
      <c r="A649" s="35"/>
      <c r="B649" s="35"/>
      <c r="C649" s="35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</row>
    <row r="650">
      <c r="A650" s="35"/>
      <c r="B650" s="35"/>
      <c r="C650" s="35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</row>
    <row r="651">
      <c r="A651" s="35"/>
      <c r="B651" s="35"/>
      <c r="C651" s="35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</row>
    <row r="652">
      <c r="A652" s="35"/>
      <c r="B652" s="35"/>
      <c r="C652" s="35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</row>
    <row r="653">
      <c r="A653" s="35"/>
      <c r="B653" s="35"/>
      <c r="C653" s="35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</row>
    <row r="654">
      <c r="A654" s="35"/>
      <c r="B654" s="35"/>
      <c r="C654" s="35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</row>
    <row r="655">
      <c r="A655" s="35"/>
      <c r="B655" s="35"/>
      <c r="C655" s="35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</row>
    <row r="656">
      <c r="A656" s="35"/>
      <c r="B656" s="35"/>
      <c r="C656" s="35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</row>
    <row r="657">
      <c r="A657" s="35"/>
      <c r="B657" s="35"/>
      <c r="C657" s="35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</row>
    <row r="658">
      <c r="A658" s="35"/>
      <c r="B658" s="35"/>
      <c r="C658" s="35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</row>
    <row r="659">
      <c r="A659" s="35"/>
      <c r="B659" s="35"/>
      <c r="C659" s="35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</row>
    <row r="660">
      <c r="A660" s="35"/>
      <c r="B660" s="35"/>
      <c r="C660" s="35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</row>
    <row r="661">
      <c r="A661" s="35"/>
      <c r="B661" s="35"/>
      <c r="C661" s="35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</row>
    <row r="662">
      <c r="A662" s="35"/>
      <c r="B662" s="35"/>
      <c r="C662" s="35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</row>
    <row r="663">
      <c r="A663" s="35"/>
      <c r="B663" s="35"/>
      <c r="C663" s="35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</row>
    <row r="664">
      <c r="A664" s="35"/>
      <c r="B664" s="35"/>
      <c r="C664" s="35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</row>
    <row r="665">
      <c r="A665" s="35"/>
      <c r="B665" s="35"/>
      <c r="C665" s="35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</row>
    <row r="666">
      <c r="A666" s="35"/>
      <c r="B666" s="35"/>
      <c r="C666" s="35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</row>
    <row r="667">
      <c r="A667" s="35"/>
      <c r="B667" s="35"/>
      <c r="C667" s="35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</row>
    <row r="668">
      <c r="A668" s="35"/>
      <c r="B668" s="35"/>
      <c r="C668" s="35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</row>
    <row r="669">
      <c r="A669" s="35"/>
      <c r="B669" s="35"/>
      <c r="C669" s="35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</row>
    <row r="670">
      <c r="A670" s="35"/>
      <c r="B670" s="35"/>
      <c r="C670" s="35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</row>
    <row r="671">
      <c r="A671" s="35"/>
      <c r="B671" s="35"/>
      <c r="C671" s="35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</row>
    <row r="672">
      <c r="A672" s="35"/>
      <c r="B672" s="35"/>
      <c r="C672" s="35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</row>
    <row r="673">
      <c r="A673" s="35"/>
      <c r="B673" s="35"/>
      <c r="C673" s="35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</row>
    <row r="674">
      <c r="A674" s="35"/>
      <c r="B674" s="35"/>
      <c r="C674" s="35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</row>
    <row r="675">
      <c r="A675" s="35"/>
      <c r="B675" s="35"/>
      <c r="C675" s="35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</row>
    <row r="676">
      <c r="A676" s="35"/>
      <c r="B676" s="35"/>
      <c r="C676" s="35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</row>
    <row r="677">
      <c r="A677" s="35"/>
      <c r="B677" s="35"/>
      <c r="C677" s="35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</row>
    <row r="678">
      <c r="A678" s="35"/>
      <c r="B678" s="35"/>
      <c r="C678" s="35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</row>
    <row r="679">
      <c r="A679" s="35"/>
      <c r="B679" s="35"/>
      <c r="C679" s="35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</row>
    <row r="680">
      <c r="A680" s="35"/>
      <c r="B680" s="35"/>
      <c r="C680" s="35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</row>
    <row r="681">
      <c r="A681" s="35"/>
      <c r="B681" s="35"/>
      <c r="C681" s="35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</row>
    <row r="682">
      <c r="A682" s="35"/>
      <c r="B682" s="35"/>
      <c r="C682" s="35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</row>
    <row r="683">
      <c r="A683" s="35"/>
      <c r="B683" s="35"/>
      <c r="C683" s="35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</row>
    <row r="684">
      <c r="A684" s="35"/>
      <c r="B684" s="35"/>
      <c r="C684" s="35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</row>
    <row r="685">
      <c r="A685" s="35"/>
      <c r="B685" s="35"/>
      <c r="C685" s="35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</row>
    <row r="686">
      <c r="A686" s="35"/>
      <c r="B686" s="35"/>
      <c r="C686" s="35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</row>
    <row r="687">
      <c r="A687" s="35"/>
      <c r="B687" s="35"/>
      <c r="C687" s="35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</row>
    <row r="688">
      <c r="A688" s="35"/>
      <c r="B688" s="35"/>
      <c r="C688" s="35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</row>
    <row r="689">
      <c r="A689" s="35"/>
      <c r="B689" s="35"/>
      <c r="C689" s="35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</row>
    <row r="690">
      <c r="A690" s="35"/>
      <c r="B690" s="35"/>
      <c r="C690" s="35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</row>
    <row r="691">
      <c r="A691" s="35"/>
      <c r="B691" s="35"/>
      <c r="C691" s="35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</row>
    <row r="692">
      <c r="A692" s="35"/>
      <c r="B692" s="35"/>
      <c r="C692" s="35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</row>
    <row r="693">
      <c r="A693" s="35"/>
      <c r="B693" s="35"/>
      <c r="C693" s="35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</row>
    <row r="694">
      <c r="A694" s="35"/>
      <c r="B694" s="35"/>
      <c r="C694" s="35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</row>
    <row r="695">
      <c r="A695" s="35"/>
      <c r="B695" s="35"/>
      <c r="C695" s="35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</row>
    <row r="696">
      <c r="A696" s="35"/>
      <c r="B696" s="35"/>
      <c r="C696" s="35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</row>
    <row r="697">
      <c r="A697" s="35"/>
      <c r="B697" s="35"/>
      <c r="C697" s="35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</row>
    <row r="698">
      <c r="A698" s="35"/>
      <c r="B698" s="35"/>
      <c r="C698" s="35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</row>
    <row r="699">
      <c r="A699" s="35"/>
      <c r="B699" s="35"/>
      <c r="C699" s="35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</row>
    <row r="700">
      <c r="A700" s="35"/>
      <c r="B700" s="35"/>
      <c r="C700" s="35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</row>
    <row r="701">
      <c r="A701" s="35"/>
      <c r="B701" s="35"/>
      <c r="C701" s="35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</row>
    <row r="702">
      <c r="A702" s="35"/>
      <c r="B702" s="35"/>
      <c r="C702" s="35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</row>
    <row r="703">
      <c r="A703" s="35"/>
      <c r="B703" s="35"/>
      <c r="C703" s="35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</row>
    <row r="704">
      <c r="A704" s="35"/>
      <c r="B704" s="35"/>
      <c r="C704" s="35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</row>
    <row r="705">
      <c r="A705" s="35"/>
      <c r="B705" s="35"/>
      <c r="C705" s="35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</row>
    <row r="706">
      <c r="A706" s="35"/>
      <c r="B706" s="35"/>
      <c r="C706" s="35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</row>
    <row r="707">
      <c r="A707" s="35"/>
      <c r="B707" s="35"/>
      <c r="C707" s="35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</row>
    <row r="708">
      <c r="A708" s="35"/>
      <c r="B708" s="35"/>
      <c r="C708" s="35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</row>
    <row r="709">
      <c r="A709" s="35"/>
      <c r="B709" s="35"/>
      <c r="C709" s="35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</row>
    <row r="710">
      <c r="A710" s="35"/>
      <c r="B710" s="35"/>
      <c r="C710" s="35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</row>
    <row r="711">
      <c r="A711" s="35"/>
      <c r="B711" s="35"/>
      <c r="C711" s="35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</row>
    <row r="712">
      <c r="A712" s="35"/>
      <c r="B712" s="35"/>
      <c r="C712" s="35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</row>
    <row r="713">
      <c r="A713" s="35"/>
      <c r="B713" s="35"/>
      <c r="C713" s="35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</row>
    <row r="714">
      <c r="A714" s="35"/>
      <c r="B714" s="35"/>
      <c r="C714" s="35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</row>
    <row r="715">
      <c r="A715" s="35"/>
      <c r="B715" s="35"/>
      <c r="C715" s="35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</row>
    <row r="716">
      <c r="A716" s="35"/>
      <c r="B716" s="35"/>
      <c r="C716" s="35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</row>
    <row r="717">
      <c r="A717" s="35"/>
      <c r="B717" s="35"/>
      <c r="C717" s="35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</row>
    <row r="718">
      <c r="A718" s="35"/>
      <c r="B718" s="35"/>
      <c r="C718" s="35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</row>
    <row r="719">
      <c r="A719" s="35"/>
      <c r="B719" s="35"/>
      <c r="C719" s="35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</row>
    <row r="720">
      <c r="A720" s="35"/>
      <c r="B720" s="35"/>
      <c r="C720" s="35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</row>
    <row r="721">
      <c r="A721" s="35"/>
      <c r="B721" s="35"/>
      <c r="C721" s="35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</row>
    <row r="722">
      <c r="A722" s="35"/>
      <c r="B722" s="35"/>
      <c r="C722" s="35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</row>
    <row r="723">
      <c r="A723" s="35"/>
      <c r="B723" s="35"/>
      <c r="C723" s="35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</row>
    <row r="724">
      <c r="A724" s="35"/>
      <c r="B724" s="35"/>
      <c r="C724" s="35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</row>
    <row r="725">
      <c r="A725" s="35"/>
      <c r="B725" s="35"/>
      <c r="C725" s="35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</row>
    <row r="726">
      <c r="A726" s="35"/>
      <c r="B726" s="35"/>
      <c r="C726" s="35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</row>
    <row r="727">
      <c r="A727" s="35"/>
      <c r="B727" s="35"/>
      <c r="C727" s="35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</row>
    <row r="728">
      <c r="A728" s="35"/>
      <c r="B728" s="35"/>
      <c r="C728" s="35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</row>
    <row r="729">
      <c r="A729" s="35"/>
      <c r="B729" s="35"/>
      <c r="C729" s="35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</row>
    <row r="730">
      <c r="A730" s="35"/>
      <c r="B730" s="35"/>
      <c r="C730" s="35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</row>
    <row r="731">
      <c r="A731" s="35"/>
      <c r="B731" s="35"/>
      <c r="C731" s="35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</row>
    <row r="732">
      <c r="A732" s="35"/>
      <c r="B732" s="35"/>
      <c r="C732" s="35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</row>
    <row r="733">
      <c r="A733" s="35"/>
      <c r="B733" s="35"/>
      <c r="C733" s="35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</row>
    <row r="734">
      <c r="A734" s="35"/>
      <c r="B734" s="35"/>
      <c r="C734" s="35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</row>
    <row r="735">
      <c r="A735" s="35"/>
      <c r="B735" s="35"/>
      <c r="C735" s="35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</row>
    <row r="736">
      <c r="A736" s="35"/>
      <c r="B736" s="35"/>
      <c r="C736" s="35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</row>
    <row r="737">
      <c r="A737" s="35"/>
      <c r="B737" s="35"/>
      <c r="C737" s="35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</row>
    <row r="738">
      <c r="A738" s="35"/>
      <c r="B738" s="35"/>
      <c r="C738" s="35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</row>
    <row r="739">
      <c r="A739" s="35"/>
      <c r="B739" s="35"/>
      <c r="C739" s="35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</row>
    <row r="740">
      <c r="A740" s="35"/>
      <c r="B740" s="35"/>
      <c r="C740" s="35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</row>
    <row r="741">
      <c r="A741" s="35"/>
      <c r="B741" s="35"/>
      <c r="C741" s="35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</row>
    <row r="742">
      <c r="A742" s="35"/>
      <c r="B742" s="35"/>
      <c r="C742" s="35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</row>
    <row r="743">
      <c r="A743" s="35"/>
      <c r="B743" s="35"/>
      <c r="C743" s="35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</row>
    <row r="744">
      <c r="A744" s="35"/>
      <c r="B744" s="35"/>
      <c r="C744" s="35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</row>
    <row r="745">
      <c r="A745" s="35"/>
      <c r="B745" s="35"/>
      <c r="C745" s="35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</row>
    <row r="746">
      <c r="A746" s="35"/>
      <c r="B746" s="35"/>
      <c r="C746" s="35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</row>
    <row r="747">
      <c r="A747" s="35"/>
      <c r="B747" s="35"/>
      <c r="C747" s="35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</row>
    <row r="748">
      <c r="A748" s="35"/>
      <c r="B748" s="35"/>
      <c r="C748" s="35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</row>
    <row r="749">
      <c r="A749" s="35"/>
      <c r="B749" s="35"/>
      <c r="C749" s="35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</row>
    <row r="750">
      <c r="A750" s="35"/>
      <c r="B750" s="35"/>
      <c r="C750" s="35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</row>
    <row r="751">
      <c r="A751" s="35"/>
      <c r="B751" s="35"/>
      <c r="C751" s="35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</row>
    <row r="752">
      <c r="A752" s="35"/>
      <c r="B752" s="35"/>
      <c r="C752" s="35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</row>
    <row r="753">
      <c r="A753" s="35"/>
      <c r="B753" s="35"/>
      <c r="C753" s="35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</row>
    <row r="754">
      <c r="A754" s="35"/>
      <c r="B754" s="35"/>
      <c r="C754" s="35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</row>
    <row r="755">
      <c r="A755" s="35"/>
      <c r="B755" s="35"/>
      <c r="C755" s="35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</row>
    <row r="756">
      <c r="A756" s="35"/>
      <c r="B756" s="35"/>
      <c r="C756" s="35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</row>
    <row r="757">
      <c r="A757" s="35"/>
      <c r="B757" s="35"/>
      <c r="C757" s="35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</row>
    <row r="758">
      <c r="A758" s="35"/>
      <c r="B758" s="35"/>
      <c r="C758" s="35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</row>
    <row r="759">
      <c r="A759" s="35"/>
      <c r="B759" s="35"/>
      <c r="C759" s="35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</row>
    <row r="760">
      <c r="A760" s="35"/>
      <c r="B760" s="35"/>
      <c r="C760" s="35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</row>
    <row r="761">
      <c r="A761" s="35"/>
      <c r="B761" s="35"/>
      <c r="C761" s="35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</row>
    <row r="762">
      <c r="A762" s="35"/>
      <c r="B762" s="35"/>
      <c r="C762" s="35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</row>
    <row r="763">
      <c r="A763" s="35"/>
      <c r="B763" s="35"/>
      <c r="C763" s="35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</row>
    <row r="764">
      <c r="A764" s="35"/>
      <c r="B764" s="35"/>
      <c r="C764" s="35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</row>
    <row r="765">
      <c r="A765" s="35"/>
      <c r="B765" s="35"/>
      <c r="C765" s="35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</row>
    <row r="766">
      <c r="A766" s="35"/>
      <c r="B766" s="35"/>
      <c r="C766" s="35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</row>
    <row r="767">
      <c r="A767" s="35"/>
      <c r="B767" s="35"/>
      <c r="C767" s="35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</row>
    <row r="768">
      <c r="A768" s="35"/>
      <c r="B768" s="35"/>
      <c r="C768" s="35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</row>
    <row r="769">
      <c r="A769" s="35"/>
      <c r="B769" s="35"/>
      <c r="C769" s="35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</row>
    <row r="770">
      <c r="A770" s="35"/>
      <c r="B770" s="35"/>
      <c r="C770" s="35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</row>
    <row r="771">
      <c r="A771" s="35"/>
      <c r="B771" s="35"/>
      <c r="C771" s="35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</row>
    <row r="772">
      <c r="A772" s="35"/>
      <c r="B772" s="35"/>
      <c r="C772" s="35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</row>
    <row r="773">
      <c r="A773" s="35"/>
      <c r="B773" s="35"/>
      <c r="C773" s="35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</row>
    <row r="774">
      <c r="A774" s="35"/>
      <c r="B774" s="35"/>
      <c r="C774" s="35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</row>
    <row r="775">
      <c r="A775" s="35"/>
      <c r="B775" s="35"/>
      <c r="C775" s="35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</row>
    <row r="776">
      <c r="A776" s="35"/>
      <c r="B776" s="35"/>
      <c r="C776" s="35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</row>
    <row r="777">
      <c r="A777" s="35"/>
      <c r="B777" s="35"/>
      <c r="C777" s="35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</row>
    <row r="778">
      <c r="A778" s="35"/>
      <c r="B778" s="35"/>
      <c r="C778" s="35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</row>
    <row r="779">
      <c r="A779" s="35"/>
      <c r="B779" s="35"/>
      <c r="C779" s="35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</row>
    <row r="780">
      <c r="A780" s="35"/>
      <c r="B780" s="35"/>
      <c r="C780" s="35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</row>
    <row r="781">
      <c r="A781" s="35"/>
      <c r="B781" s="35"/>
      <c r="C781" s="35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</row>
    <row r="782">
      <c r="A782" s="35"/>
      <c r="B782" s="35"/>
      <c r="C782" s="35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</row>
    <row r="783">
      <c r="A783" s="35"/>
      <c r="B783" s="35"/>
      <c r="C783" s="35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</row>
    <row r="784">
      <c r="A784" s="35"/>
      <c r="B784" s="35"/>
      <c r="C784" s="35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</row>
    <row r="785">
      <c r="A785" s="35"/>
      <c r="B785" s="35"/>
      <c r="C785" s="35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</row>
    <row r="786">
      <c r="A786" s="35"/>
      <c r="B786" s="35"/>
      <c r="C786" s="35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</row>
    <row r="787">
      <c r="A787" s="35"/>
      <c r="B787" s="35"/>
      <c r="C787" s="35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</row>
    <row r="788">
      <c r="A788" s="35"/>
      <c r="B788" s="35"/>
      <c r="C788" s="35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</row>
    <row r="789">
      <c r="A789" s="35"/>
      <c r="B789" s="35"/>
      <c r="C789" s="35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</row>
    <row r="790">
      <c r="A790" s="35"/>
      <c r="B790" s="35"/>
      <c r="C790" s="35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</row>
    <row r="791">
      <c r="A791" s="35"/>
      <c r="B791" s="35"/>
      <c r="C791" s="35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</row>
    <row r="792">
      <c r="A792" s="35"/>
      <c r="B792" s="35"/>
      <c r="C792" s="35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</row>
    <row r="793">
      <c r="A793" s="35"/>
      <c r="B793" s="35"/>
      <c r="C793" s="35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</row>
    <row r="794">
      <c r="A794" s="35"/>
      <c r="B794" s="35"/>
      <c r="C794" s="35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</row>
    <row r="795">
      <c r="A795" s="35"/>
      <c r="B795" s="35"/>
      <c r="C795" s="35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</row>
    <row r="796">
      <c r="A796" s="35"/>
      <c r="B796" s="35"/>
      <c r="C796" s="35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</row>
    <row r="797">
      <c r="A797" s="35"/>
      <c r="B797" s="35"/>
      <c r="C797" s="35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</row>
    <row r="798">
      <c r="A798" s="35"/>
      <c r="B798" s="35"/>
      <c r="C798" s="35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</row>
    <row r="799">
      <c r="A799" s="35"/>
      <c r="B799" s="35"/>
      <c r="C799" s="35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</row>
    <row r="800">
      <c r="A800" s="35"/>
      <c r="B800" s="35"/>
      <c r="C800" s="35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</row>
    <row r="801">
      <c r="A801" s="35"/>
      <c r="B801" s="35"/>
      <c r="C801" s="35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</row>
    <row r="802">
      <c r="A802" s="35"/>
      <c r="B802" s="35"/>
      <c r="C802" s="35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</row>
    <row r="803">
      <c r="A803" s="35"/>
      <c r="B803" s="35"/>
      <c r="C803" s="35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</row>
    <row r="804">
      <c r="A804" s="35"/>
      <c r="B804" s="35"/>
      <c r="C804" s="35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</row>
    <row r="805">
      <c r="A805" s="35"/>
      <c r="B805" s="35"/>
      <c r="C805" s="35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</row>
    <row r="806">
      <c r="A806" s="35"/>
      <c r="B806" s="35"/>
      <c r="C806" s="35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</row>
    <row r="807">
      <c r="A807" s="35"/>
      <c r="B807" s="35"/>
      <c r="C807" s="35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</row>
    <row r="808">
      <c r="A808" s="35"/>
      <c r="B808" s="35"/>
      <c r="C808" s="35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</row>
    <row r="809">
      <c r="A809" s="35"/>
      <c r="B809" s="35"/>
      <c r="C809" s="35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</row>
    <row r="810">
      <c r="A810" s="35"/>
      <c r="B810" s="35"/>
      <c r="C810" s="35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</row>
    <row r="811">
      <c r="A811" s="35"/>
      <c r="B811" s="35"/>
      <c r="C811" s="35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</row>
    <row r="812">
      <c r="A812" s="35"/>
      <c r="B812" s="35"/>
      <c r="C812" s="35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</row>
    <row r="813">
      <c r="A813" s="35"/>
      <c r="B813" s="35"/>
      <c r="C813" s="35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</row>
    <row r="814">
      <c r="A814" s="35"/>
      <c r="B814" s="35"/>
      <c r="C814" s="35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</row>
    <row r="815">
      <c r="A815" s="35"/>
      <c r="B815" s="35"/>
      <c r="C815" s="35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</row>
    <row r="816">
      <c r="A816" s="35"/>
      <c r="B816" s="35"/>
      <c r="C816" s="35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</row>
    <row r="817">
      <c r="A817" s="35"/>
      <c r="B817" s="35"/>
      <c r="C817" s="35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</row>
    <row r="818">
      <c r="A818" s="35"/>
      <c r="B818" s="35"/>
      <c r="C818" s="35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</row>
    <row r="819">
      <c r="A819" s="35"/>
      <c r="B819" s="35"/>
      <c r="C819" s="35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</row>
    <row r="820">
      <c r="A820" s="35"/>
      <c r="B820" s="35"/>
      <c r="C820" s="35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</row>
    <row r="821">
      <c r="A821" s="35"/>
      <c r="B821" s="35"/>
      <c r="C821" s="35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</row>
    <row r="822">
      <c r="A822" s="35"/>
      <c r="B822" s="35"/>
      <c r="C822" s="35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</row>
    <row r="823">
      <c r="A823" s="35"/>
      <c r="B823" s="35"/>
      <c r="C823" s="35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</row>
    <row r="824">
      <c r="A824" s="35"/>
      <c r="B824" s="35"/>
      <c r="C824" s="35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</row>
    <row r="825">
      <c r="A825" s="35"/>
      <c r="B825" s="35"/>
      <c r="C825" s="35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</row>
    <row r="826">
      <c r="A826" s="35"/>
      <c r="B826" s="35"/>
      <c r="C826" s="35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</row>
    <row r="827">
      <c r="A827" s="35"/>
      <c r="B827" s="35"/>
      <c r="C827" s="35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</row>
    <row r="828">
      <c r="A828" s="35"/>
      <c r="B828" s="35"/>
      <c r="C828" s="35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</row>
    <row r="829">
      <c r="A829" s="35"/>
      <c r="B829" s="35"/>
      <c r="C829" s="35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</row>
    <row r="830">
      <c r="A830" s="35"/>
      <c r="B830" s="35"/>
      <c r="C830" s="35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</row>
    <row r="831">
      <c r="A831" s="35"/>
      <c r="B831" s="35"/>
      <c r="C831" s="35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</row>
    <row r="832">
      <c r="A832" s="35"/>
      <c r="B832" s="35"/>
      <c r="C832" s="35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</row>
    <row r="833">
      <c r="A833" s="35"/>
      <c r="B833" s="35"/>
      <c r="C833" s="35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</row>
    <row r="834">
      <c r="A834" s="35"/>
      <c r="B834" s="35"/>
      <c r="C834" s="35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</row>
    <row r="835">
      <c r="A835" s="35"/>
      <c r="B835" s="35"/>
      <c r="C835" s="35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</row>
    <row r="836">
      <c r="A836" s="35"/>
      <c r="B836" s="35"/>
      <c r="C836" s="35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</row>
    <row r="837">
      <c r="A837" s="35"/>
      <c r="B837" s="35"/>
      <c r="C837" s="35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</row>
    <row r="838">
      <c r="A838" s="35"/>
      <c r="B838" s="35"/>
      <c r="C838" s="35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</row>
    <row r="839">
      <c r="A839" s="35"/>
      <c r="B839" s="35"/>
      <c r="C839" s="35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</row>
    <row r="840">
      <c r="A840" s="35"/>
      <c r="B840" s="35"/>
      <c r="C840" s="35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</row>
    <row r="841">
      <c r="A841" s="35"/>
      <c r="B841" s="35"/>
      <c r="C841" s="35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</row>
    <row r="842">
      <c r="A842" s="35"/>
      <c r="B842" s="35"/>
      <c r="C842" s="35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</row>
    <row r="843">
      <c r="A843" s="35"/>
      <c r="B843" s="35"/>
      <c r="C843" s="35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</row>
    <row r="844">
      <c r="A844" s="35"/>
      <c r="B844" s="35"/>
      <c r="C844" s="35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</row>
    <row r="845">
      <c r="A845" s="35"/>
      <c r="B845" s="35"/>
      <c r="C845" s="35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</row>
    <row r="846">
      <c r="A846" s="35"/>
      <c r="B846" s="35"/>
      <c r="C846" s="35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</row>
    <row r="847">
      <c r="A847" s="35"/>
      <c r="B847" s="35"/>
      <c r="C847" s="35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</row>
    <row r="848">
      <c r="A848" s="35"/>
      <c r="B848" s="35"/>
      <c r="C848" s="35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</row>
    <row r="849">
      <c r="A849" s="35"/>
      <c r="B849" s="35"/>
      <c r="C849" s="35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</row>
    <row r="850">
      <c r="A850" s="35"/>
      <c r="B850" s="35"/>
      <c r="C850" s="35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</row>
    <row r="851">
      <c r="A851" s="35"/>
      <c r="B851" s="35"/>
      <c r="C851" s="35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</row>
    <row r="852">
      <c r="A852" s="35"/>
      <c r="B852" s="35"/>
      <c r="C852" s="35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</row>
    <row r="853">
      <c r="A853" s="35"/>
      <c r="B853" s="35"/>
      <c r="C853" s="35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</row>
    <row r="854">
      <c r="A854" s="35"/>
      <c r="B854" s="35"/>
      <c r="C854" s="35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</row>
    <row r="855">
      <c r="A855" s="35"/>
      <c r="B855" s="35"/>
      <c r="C855" s="35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</row>
    <row r="856">
      <c r="A856" s="35"/>
      <c r="B856" s="35"/>
      <c r="C856" s="35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</row>
    <row r="857">
      <c r="A857" s="35"/>
      <c r="B857" s="35"/>
      <c r="C857" s="35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</row>
    <row r="858">
      <c r="A858" s="35"/>
      <c r="B858" s="35"/>
      <c r="C858" s="35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</row>
    <row r="859">
      <c r="A859" s="35"/>
      <c r="B859" s="35"/>
      <c r="C859" s="35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</row>
    <row r="860">
      <c r="A860" s="35"/>
      <c r="B860" s="35"/>
      <c r="C860" s="35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</row>
    <row r="861">
      <c r="A861" s="35"/>
      <c r="B861" s="35"/>
      <c r="C861" s="35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</row>
    <row r="862">
      <c r="A862" s="35"/>
      <c r="B862" s="35"/>
      <c r="C862" s="35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</row>
    <row r="863">
      <c r="A863" s="35"/>
      <c r="B863" s="35"/>
      <c r="C863" s="35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</row>
    <row r="864">
      <c r="A864" s="35"/>
      <c r="B864" s="35"/>
      <c r="C864" s="35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</row>
    <row r="865">
      <c r="A865" s="35"/>
      <c r="B865" s="35"/>
      <c r="C865" s="35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</row>
    <row r="866">
      <c r="A866" s="35"/>
      <c r="B866" s="35"/>
      <c r="C866" s="35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</row>
    <row r="867">
      <c r="A867" s="35"/>
      <c r="B867" s="35"/>
      <c r="C867" s="35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</row>
    <row r="868">
      <c r="A868" s="35"/>
      <c r="B868" s="35"/>
      <c r="C868" s="35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</row>
    <row r="869">
      <c r="A869" s="35"/>
      <c r="B869" s="35"/>
      <c r="C869" s="35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</row>
    <row r="870">
      <c r="A870" s="35"/>
      <c r="B870" s="35"/>
      <c r="C870" s="35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</row>
    <row r="871">
      <c r="A871" s="35"/>
      <c r="B871" s="35"/>
      <c r="C871" s="35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</row>
    <row r="872">
      <c r="A872" s="35"/>
      <c r="B872" s="35"/>
      <c r="C872" s="35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</row>
    <row r="873">
      <c r="A873" s="35"/>
      <c r="B873" s="35"/>
      <c r="C873" s="35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</row>
    <row r="874">
      <c r="A874" s="35"/>
      <c r="B874" s="35"/>
      <c r="C874" s="35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</row>
    <row r="875">
      <c r="A875" s="35"/>
      <c r="B875" s="35"/>
      <c r="C875" s="35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</row>
    <row r="876">
      <c r="A876" s="35"/>
      <c r="B876" s="35"/>
      <c r="C876" s="35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</row>
    <row r="877">
      <c r="A877" s="35"/>
      <c r="B877" s="35"/>
      <c r="C877" s="35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</row>
    <row r="878">
      <c r="A878" s="35"/>
      <c r="B878" s="35"/>
      <c r="C878" s="35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</row>
    <row r="879">
      <c r="A879" s="35"/>
      <c r="B879" s="35"/>
      <c r="C879" s="35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</row>
    <row r="880">
      <c r="A880" s="35"/>
      <c r="B880" s="35"/>
      <c r="C880" s="35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</row>
    <row r="881">
      <c r="A881" s="35"/>
      <c r="B881" s="35"/>
      <c r="C881" s="35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</row>
    <row r="882">
      <c r="A882" s="35"/>
      <c r="B882" s="35"/>
      <c r="C882" s="35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</row>
    <row r="883">
      <c r="A883" s="35"/>
      <c r="B883" s="35"/>
      <c r="C883" s="35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</row>
    <row r="884">
      <c r="A884" s="35"/>
      <c r="B884" s="35"/>
      <c r="C884" s="35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</row>
    <row r="885">
      <c r="A885" s="35"/>
      <c r="B885" s="35"/>
      <c r="C885" s="35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</row>
    <row r="886">
      <c r="A886" s="35"/>
      <c r="B886" s="35"/>
      <c r="C886" s="35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</row>
    <row r="887">
      <c r="A887" s="35"/>
      <c r="B887" s="35"/>
      <c r="C887" s="35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</row>
    <row r="888">
      <c r="A888" s="35"/>
      <c r="B888" s="35"/>
      <c r="C888" s="35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</row>
    <row r="889">
      <c r="A889" s="35"/>
      <c r="B889" s="35"/>
      <c r="C889" s="35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</row>
    <row r="890">
      <c r="A890" s="35"/>
      <c r="B890" s="35"/>
      <c r="C890" s="35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</row>
    <row r="891">
      <c r="A891" s="35"/>
      <c r="B891" s="35"/>
      <c r="C891" s="35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</row>
    <row r="892">
      <c r="A892" s="35"/>
      <c r="B892" s="35"/>
      <c r="C892" s="35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</row>
    <row r="893">
      <c r="A893" s="35"/>
      <c r="B893" s="35"/>
      <c r="C893" s="35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</row>
    <row r="894">
      <c r="A894" s="35"/>
      <c r="B894" s="35"/>
      <c r="C894" s="35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</row>
    <row r="895">
      <c r="A895" s="35"/>
      <c r="B895" s="35"/>
      <c r="C895" s="35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</row>
    <row r="896">
      <c r="A896" s="35"/>
      <c r="B896" s="35"/>
      <c r="C896" s="35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</row>
    <row r="897">
      <c r="A897" s="35"/>
      <c r="B897" s="35"/>
      <c r="C897" s="35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</row>
    <row r="898">
      <c r="A898" s="35"/>
      <c r="B898" s="35"/>
      <c r="C898" s="35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</row>
    <row r="899">
      <c r="A899" s="35"/>
      <c r="B899" s="35"/>
      <c r="C899" s="35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</row>
    <row r="900">
      <c r="A900" s="35"/>
      <c r="B900" s="35"/>
      <c r="C900" s="35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</row>
    <row r="901">
      <c r="A901" s="35"/>
      <c r="B901" s="35"/>
      <c r="C901" s="35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</row>
    <row r="902">
      <c r="A902" s="35"/>
      <c r="B902" s="35"/>
      <c r="C902" s="35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</row>
    <row r="903">
      <c r="A903" s="35"/>
      <c r="B903" s="35"/>
      <c r="C903" s="35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</row>
    <row r="904">
      <c r="A904" s="35"/>
      <c r="B904" s="35"/>
      <c r="C904" s="35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</row>
    <row r="905">
      <c r="A905" s="35"/>
      <c r="B905" s="35"/>
      <c r="C905" s="35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</row>
    <row r="906">
      <c r="A906" s="35"/>
      <c r="B906" s="35"/>
      <c r="C906" s="35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</row>
    <row r="907">
      <c r="A907" s="35"/>
      <c r="B907" s="35"/>
      <c r="C907" s="35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</row>
    <row r="908">
      <c r="A908" s="35"/>
      <c r="B908" s="35"/>
      <c r="C908" s="35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</row>
    <row r="909">
      <c r="A909" s="35"/>
      <c r="B909" s="35"/>
      <c r="C909" s="35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</row>
    <row r="910">
      <c r="A910" s="35"/>
      <c r="B910" s="35"/>
      <c r="C910" s="35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</row>
    <row r="911">
      <c r="A911" s="35"/>
      <c r="B911" s="35"/>
      <c r="C911" s="35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</row>
    <row r="912">
      <c r="A912" s="35"/>
      <c r="B912" s="35"/>
      <c r="C912" s="35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</row>
    <row r="913">
      <c r="A913" s="35"/>
      <c r="B913" s="35"/>
      <c r="C913" s="35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</row>
    <row r="914">
      <c r="A914" s="35"/>
      <c r="B914" s="35"/>
      <c r="C914" s="35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</row>
    <row r="915">
      <c r="A915" s="35"/>
      <c r="B915" s="35"/>
      <c r="C915" s="35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</row>
    <row r="916">
      <c r="A916" s="35"/>
      <c r="B916" s="35"/>
      <c r="C916" s="35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</row>
    <row r="917">
      <c r="A917" s="35"/>
      <c r="B917" s="35"/>
      <c r="C917" s="35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</row>
    <row r="918">
      <c r="A918" s="35"/>
      <c r="B918" s="35"/>
      <c r="C918" s="35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</row>
    <row r="919">
      <c r="A919" s="35"/>
      <c r="B919" s="35"/>
      <c r="C919" s="35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</row>
    <row r="920">
      <c r="A920" s="35"/>
      <c r="B920" s="35"/>
      <c r="C920" s="35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</row>
    <row r="921">
      <c r="A921" s="35"/>
      <c r="B921" s="35"/>
      <c r="C921" s="35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</row>
    <row r="922">
      <c r="A922" s="35"/>
      <c r="B922" s="35"/>
      <c r="C922" s="35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</row>
    <row r="923">
      <c r="A923" s="35"/>
      <c r="B923" s="35"/>
      <c r="C923" s="35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</row>
    <row r="924">
      <c r="A924" s="35"/>
      <c r="B924" s="35"/>
      <c r="C924" s="35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</row>
    <row r="925">
      <c r="A925" s="35"/>
      <c r="B925" s="35"/>
      <c r="C925" s="35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</row>
    <row r="926">
      <c r="A926" s="35"/>
      <c r="B926" s="35"/>
      <c r="C926" s="35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</row>
    <row r="927">
      <c r="A927" s="35"/>
      <c r="B927" s="35"/>
      <c r="C927" s="35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</row>
    <row r="928">
      <c r="A928" s="35"/>
      <c r="B928" s="35"/>
      <c r="C928" s="35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</row>
    <row r="929">
      <c r="A929" s="35"/>
      <c r="B929" s="35"/>
      <c r="C929" s="35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</row>
    <row r="930">
      <c r="A930" s="35"/>
      <c r="B930" s="35"/>
      <c r="C930" s="35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</row>
    <row r="931">
      <c r="A931" s="35"/>
      <c r="B931" s="35"/>
      <c r="C931" s="35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</row>
    <row r="932">
      <c r="A932" s="35"/>
      <c r="B932" s="35"/>
      <c r="C932" s="35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</row>
    <row r="933">
      <c r="A933" s="35"/>
      <c r="B933" s="35"/>
      <c r="C933" s="35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</row>
    <row r="934">
      <c r="A934" s="35"/>
      <c r="B934" s="35"/>
      <c r="C934" s="35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</row>
    <row r="935">
      <c r="A935" s="35"/>
      <c r="B935" s="35"/>
      <c r="C935" s="35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</row>
    <row r="936">
      <c r="A936" s="35"/>
      <c r="B936" s="35"/>
      <c r="C936" s="35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</row>
    <row r="937">
      <c r="A937" s="35"/>
      <c r="B937" s="35"/>
      <c r="C937" s="35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</row>
    <row r="938">
      <c r="A938" s="35"/>
      <c r="B938" s="35"/>
      <c r="C938" s="35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</row>
    <row r="939">
      <c r="A939" s="35"/>
      <c r="B939" s="35"/>
      <c r="C939" s="35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</row>
    <row r="940">
      <c r="A940" s="35"/>
      <c r="B940" s="35"/>
      <c r="C940" s="35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</row>
    <row r="941">
      <c r="A941" s="35"/>
      <c r="B941" s="35"/>
      <c r="C941" s="35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</row>
    <row r="942">
      <c r="A942" s="35"/>
      <c r="B942" s="35"/>
      <c r="C942" s="35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</row>
    <row r="943">
      <c r="A943" s="35"/>
      <c r="B943" s="35"/>
      <c r="C943" s="35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</row>
    <row r="944">
      <c r="A944" s="35"/>
      <c r="B944" s="35"/>
      <c r="C944" s="35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</row>
    <row r="945">
      <c r="A945" s="35"/>
      <c r="B945" s="35"/>
      <c r="C945" s="35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</row>
    <row r="946">
      <c r="A946" s="35"/>
      <c r="B946" s="35"/>
      <c r="C946" s="35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</row>
    <row r="947">
      <c r="A947" s="35"/>
      <c r="B947" s="35"/>
      <c r="C947" s="35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</row>
    <row r="948">
      <c r="A948" s="35"/>
      <c r="B948" s="35"/>
      <c r="C948" s="35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</row>
    <row r="949">
      <c r="A949" s="35"/>
      <c r="B949" s="35"/>
      <c r="C949" s="35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</row>
    <row r="950">
      <c r="A950" s="35"/>
      <c r="B950" s="35"/>
      <c r="C950" s="35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</row>
    <row r="951">
      <c r="A951" s="35"/>
      <c r="B951" s="35"/>
      <c r="C951" s="35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</row>
    <row r="952">
      <c r="A952" s="35"/>
      <c r="B952" s="35"/>
      <c r="C952" s="35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</row>
    <row r="953">
      <c r="A953" s="35"/>
      <c r="B953" s="35"/>
      <c r="C953" s="35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</row>
    <row r="954">
      <c r="A954" s="35"/>
      <c r="B954" s="35"/>
      <c r="C954" s="35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</row>
    <row r="955">
      <c r="A955" s="35"/>
      <c r="B955" s="35"/>
      <c r="C955" s="35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</row>
    <row r="956">
      <c r="A956" s="35"/>
      <c r="B956" s="35"/>
      <c r="C956" s="35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</row>
    <row r="957">
      <c r="A957" s="35"/>
      <c r="B957" s="35"/>
      <c r="C957" s="35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</row>
    <row r="958">
      <c r="A958" s="35"/>
      <c r="B958" s="35"/>
      <c r="C958" s="35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</row>
    <row r="959">
      <c r="A959" s="35"/>
      <c r="B959" s="35"/>
      <c r="C959" s="35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</row>
    <row r="960">
      <c r="A960" s="35"/>
      <c r="B960" s="35"/>
      <c r="C960" s="35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</row>
    <row r="961">
      <c r="A961" s="35"/>
      <c r="B961" s="35"/>
      <c r="C961" s="35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</row>
    <row r="962">
      <c r="A962" s="35"/>
      <c r="B962" s="35"/>
      <c r="C962" s="35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</row>
    <row r="963">
      <c r="A963" s="35"/>
      <c r="B963" s="35"/>
      <c r="C963" s="35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</row>
    <row r="964">
      <c r="A964" s="35"/>
      <c r="B964" s="35"/>
      <c r="C964" s="35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</row>
    <row r="965">
      <c r="A965" s="35"/>
      <c r="B965" s="35"/>
      <c r="C965" s="35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</row>
    <row r="966">
      <c r="A966" s="35"/>
      <c r="B966" s="35"/>
      <c r="C966" s="35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</row>
    <row r="967">
      <c r="A967" s="35"/>
      <c r="B967" s="35"/>
      <c r="C967" s="35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</row>
    <row r="968">
      <c r="A968" s="35"/>
      <c r="B968" s="35"/>
      <c r="C968" s="35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</row>
    <row r="969">
      <c r="A969" s="35"/>
      <c r="B969" s="35"/>
      <c r="C969" s="35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</row>
    <row r="970">
      <c r="A970" s="35"/>
      <c r="B970" s="35"/>
      <c r="C970" s="35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</row>
    <row r="971">
      <c r="A971" s="35"/>
      <c r="B971" s="35"/>
      <c r="C971" s="35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</row>
    <row r="972">
      <c r="A972" s="35"/>
      <c r="B972" s="35"/>
      <c r="C972" s="35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</row>
    <row r="973">
      <c r="A973" s="35"/>
      <c r="B973" s="35"/>
      <c r="C973" s="35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</row>
    <row r="974">
      <c r="A974" s="35"/>
      <c r="B974" s="35"/>
      <c r="C974" s="35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</row>
    <row r="975">
      <c r="A975" s="35"/>
      <c r="B975" s="35"/>
      <c r="C975" s="35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</row>
    <row r="976">
      <c r="A976" s="35"/>
      <c r="B976" s="35"/>
      <c r="C976" s="35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</row>
    <row r="977">
      <c r="A977" s="35"/>
      <c r="B977" s="35"/>
      <c r="C977" s="35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</row>
  </sheetData>
  <mergeCells count="24">
    <mergeCell ref="K5:K6"/>
    <mergeCell ref="L5:L6"/>
    <mergeCell ref="B1:O4"/>
    <mergeCell ref="A5:A6"/>
    <mergeCell ref="B5:B6"/>
    <mergeCell ref="C5:C6"/>
    <mergeCell ref="D5:D6"/>
    <mergeCell ref="E5:I5"/>
    <mergeCell ref="J5:J6"/>
    <mergeCell ref="O5:O6"/>
    <mergeCell ref="E33:I33"/>
    <mergeCell ref="J33:J34"/>
    <mergeCell ref="K33:K34"/>
    <mergeCell ref="L33:L34"/>
    <mergeCell ref="M33:M34"/>
    <mergeCell ref="N33:N34"/>
    <mergeCell ref="M5:M6"/>
    <mergeCell ref="N5:N6"/>
    <mergeCell ref="B29:O32"/>
    <mergeCell ref="A33:A34"/>
    <mergeCell ref="B33:B34"/>
    <mergeCell ref="C33:C34"/>
    <mergeCell ref="D33:D34"/>
    <mergeCell ref="O33:O34"/>
  </mergeCells>
  <conditionalFormatting sqref="K7:K27 M7:M27 K35:K56 M35:M56">
    <cfRule type="cellIs" dxfId="0" priority="1" operator="between">
      <formula>"0%"</formula>
      <formula>"79.99%"</formula>
    </cfRule>
  </conditionalFormatting>
  <conditionalFormatting sqref="K7:K27 M7:M27 K35:K56 M35:M56">
    <cfRule type="cellIs" dxfId="1" priority="2" operator="between">
      <formula>"80%"</formula>
      <formula>"99.99%"</formula>
    </cfRule>
  </conditionalFormatting>
  <conditionalFormatting sqref="K7:K27 M7:M27 K35:K56 M35:M56">
    <cfRule type="cellIs" dxfId="2" priority="3" operator="between">
      <formula>"100%"</formula>
      <formula>"500%"</formula>
    </cfRule>
  </conditionalFormatting>
  <drawing r:id="rId1"/>
</worksheet>
</file>